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Hybrid_OU_Branching_Pediatric_Leukemia/iScience/Revision/Revision Package/"/>
    </mc:Choice>
  </mc:AlternateContent>
  <xr:revisionPtr revIDLastSave="0" documentId="13_ncr:1_{0D126921-B220-A348-9F9C-24EFD302EF59}" xr6:coauthVersionLast="47" xr6:coauthVersionMax="47" xr10:uidLastSave="{00000000-0000-0000-0000-000000000000}"/>
  <bookViews>
    <workbookView xWindow="0" yWindow="520" windowWidth="22940" windowHeight="13540" xr2:uid="{B09B8C7A-FE1C-7045-A7B8-1047EF4811E4}"/>
  </bookViews>
  <sheets>
    <sheet name="Supplementary_Information_Guide" sheetId="9" r:id="rId1"/>
    <sheet name="Sim_Params" sheetId="4" r:id="rId2"/>
    <sheet name="Clinical_Data" sheetId="1" r:id="rId3"/>
    <sheet name="Group_Summary" sheetId="2" r:id="rId4"/>
    <sheet name="Disease_Summary" sheetId="3" r:id="rId5"/>
    <sheet name="Simulation_Summary" sheetId="7" r:id="rId6"/>
    <sheet name="Patient_Outputs" sheetId="5" r:id="rId7"/>
    <sheet name="Lineage_Metrics_Summary" sheetId="6" r:id="rId8"/>
    <sheet name="Case_Level_Model_Comparison" sheetId="8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<sst xmlns="http://schemas.openxmlformats.org/spreadsheetml/2006/main" count="1568" uniqueCount="282">
  <si>
    <t>Patient_ID</t>
  </si>
  <si>
    <t>Disease</t>
  </si>
  <si>
    <t>Group</t>
  </si>
  <si>
    <t>FusionGeneatDiagnosis</t>
  </si>
  <si>
    <t>FusionGeneatRelapse</t>
  </si>
  <si>
    <t>Karyotype Diagnosis</t>
  </si>
  <si>
    <t>Karyotype R</t>
  </si>
  <si>
    <t>P15</t>
  </si>
  <si>
    <t>B-ALL</t>
  </si>
  <si>
    <t>Remission</t>
  </si>
  <si>
    <t>KMT2A::MLLT3</t>
  </si>
  <si>
    <t>na</t>
  </si>
  <si>
    <t>47-48,XY,t(9;11)(p22;q23)+1-2mar</t>
  </si>
  <si>
    <t>P16</t>
  </si>
  <si>
    <t>KMT2A::AFF1</t>
  </si>
  <si>
    <t>46,XY,t(4;11)(q21;q23)[18]/46,XY[7]</t>
  </si>
  <si>
    <t>P19</t>
  </si>
  <si>
    <t>KMT2A::ACIN1</t>
  </si>
  <si>
    <t>46,XX,ins(11;14)(q23;q?),-14,+mar.ish.del(9)(p21p21)</t>
  </si>
  <si>
    <t>P2</t>
  </si>
  <si>
    <t>KMT2A::MLLT1</t>
  </si>
  <si>
    <t>46,XX,t(11;19)(q23;p13)[14]</t>
  </si>
  <si>
    <t>P26</t>
  </si>
  <si>
    <t>46,XX,t(11;?19)(q23;?)/46,XX</t>
  </si>
  <si>
    <t>P29</t>
  </si>
  <si>
    <t>46,XY,t(9;11)(p21;q23)</t>
  </si>
  <si>
    <t>P1</t>
  </si>
  <si>
    <t>MPAL</t>
  </si>
  <si>
    <t>KMT2A::MLLT10</t>
  </si>
  <si>
    <t>46,XX,del(10)(p11),der(11)inv(11)(q13q23)del(11)(q13),der(14)t(11;14)(q13;q32)t(10;11)(?;q23)[14]/46,XX[11]</t>
  </si>
  <si>
    <t>P123</t>
  </si>
  <si>
    <t>Very early</t>
  </si>
  <si>
    <t>KMT2A::EPS15</t>
  </si>
  <si>
    <t>46,XX,t(1;11)(p32;q23)[21]/46,XX,[1]</t>
  </si>
  <si>
    <t>-</t>
  </si>
  <si>
    <t>P126</t>
  </si>
  <si>
    <t>46,XY,t(11;19)(q23;013.3)[7]/46XY[3]</t>
  </si>
  <si>
    <t>P127</t>
  </si>
  <si>
    <t>46,XX,t(4;11)(q21;q23)[13]/46,XX[2]</t>
  </si>
  <si>
    <t>P128</t>
  </si>
  <si>
    <t>46,XX?t(9;11)(P21;q23)[1],ISHt(9;11)(P21;q23)(3'MLL+;5'MLL+,3'MLL-)[11]/46,XX[19],NUCISH(MLLX2)(5'MLLSEP3'MLLX1)[181/200]</t>
  </si>
  <si>
    <t>P129</t>
  </si>
  <si>
    <t>P11</t>
  </si>
  <si>
    <t>46,XY,del(11)(q23),der(19)t(11;19)(q23;?)[15]/46,XY,der(1)ins(1;11)(p36;q13q23),del(3)(q13),der(11)t(3;11)(q13;q13),der(19)t(11;19)(q23;?)[6]/46,XY[4]</t>
  </si>
  <si>
    <t>??XY[2%],??XX[95%]</t>
  </si>
  <si>
    <t>P12</t>
  </si>
  <si>
    <t>46,XX,t(11;19)(q23;p13)</t>
  </si>
  <si>
    <t>??,?X,der(11)(q23)[11.6%]/??,?X[87.7%]</t>
  </si>
  <si>
    <t>P89</t>
  </si>
  <si>
    <t>46,XY,t(9;11)(p?13;q23)[2]/45,idem,del(3)(p?),t(3;11)(q?;q1?3),der(7)t(7;11)(p?;p?),-13[5]/46,XY[3]</t>
  </si>
  <si>
    <t>P28</t>
  </si>
  <si>
    <t>Very early/refractory</t>
  </si>
  <si>
    <t>46,XX,t(4;11)(q21;q23),inc[4]/46,XX[2]</t>
  </si>
  <si>
    <t>RL1:46,XX,t(4;11)(q21;q23)[5]/46,idem,del(6)(p22),del(7)(q32),-20,+mar[14]&amp;RL2:46,XX,t(4;11)(q21;q23)[3]/46,idem,add(6)(p21),add(7)(q22),der(20)t(7;20)(q22;q13)[9]</t>
  </si>
  <si>
    <t>P135</t>
  </si>
  <si>
    <t>46,XY,t(4;11)(q21;q23)</t>
  </si>
  <si>
    <t>P136</t>
  </si>
  <si>
    <t>46,XX,t(11;19)(q23;p13.3)</t>
  </si>
  <si>
    <t>P22</t>
  </si>
  <si>
    <t>Early</t>
  </si>
  <si>
    <t>46,XY,t(4;11)(q21;q23)[3]PB</t>
  </si>
  <si>
    <t>P56</t>
  </si>
  <si>
    <t>46,XY,t(10;11)(q25;q23)[2]/46,XY</t>
  </si>
  <si>
    <t>P121</t>
  </si>
  <si>
    <t>45~46,XY,del(1)(p2?2p3?6)[2],t(4;11)(q21;q23),der(7;17)(q10;q10),+mar[cp4]/46,XY[10]/46,XY,inc[8]</t>
  </si>
  <si>
    <t>P122</t>
  </si>
  <si>
    <t>P124</t>
  </si>
  <si>
    <t>46,XY,t(4,11)(q21,q23)[8]/46,XY[12]</t>
  </si>
  <si>
    <t>P125</t>
  </si>
  <si>
    <t>P130</t>
  </si>
  <si>
    <t>not known</t>
  </si>
  <si>
    <t>P133</t>
  </si>
  <si>
    <t>t(4;11)(q21:q23.3)</t>
  </si>
  <si>
    <t>P3</t>
  </si>
  <si>
    <t>46,XX,t(4;11)(q21;q23)[20]/46,XX[5]</t>
  </si>
  <si>
    <t>46,XX,t(4;11)(q21;q23),add(7)(p14)[23]</t>
  </si>
  <si>
    <t>P47</t>
  </si>
  <si>
    <t>46,XX,t(11;19)(q23;13.3)[1]/47,idem,+X[23]/46,XX[4]</t>
  </si>
  <si>
    <t>P17</t>
  </si>
  <si>
    <t>KMT2A::GAS7</t>
  </si>
  <si>
    <t>46,XX,t(11;17)(q23;p13)[25]</t>
  </si>
  <si>
    <t>??,?X,der(11)(q23)[94.4%]/??,?X[3.9%]</t>
  </si>
  <si>
    <t>P57</t>
  </si>
  <si>
    <t>45-47,XX,+X,t(4;11)(q21;q23),inc[24]/46,XX[7]</t>
  </si>
  <si>
    <t>47,XX,+X,t(4;11)(q21;q23),i(7)(q10)[11]/48,idem,+mar[4]/46,XX[14]</t>
  </si>
  <si>
    <t>P58</t>
  </si>
  <si>
    <t>T-ALL</t>
  </si>
  <si>
    <t>46,XX,t(4;11)(q21;q23)[12]/46,idem,del(6)(q21)[10]</t>
  </si>
  <si>
    <t>P69</t>
  </si>
  <si>
    <t>46,XX,der(10)t(10;11)(p?;q?)[7]</t>
  </si>
  <si>
    <t>P137</t>
  </si>
  <si>
    <t>P138</t>
  </si>
  <si>
    <t>KMT2A::RELA</t>
  </si>
  <si>
    <t>P108</t>
  </si>
  <si>
    <t>AML</t>
  </si>
  <si>
    <t>46,XX,der(6)del(6)(p21p24)ins(6;10)(p21;?)ins(6;11)(p21;q23q?),der(10)del(10)t(10;11),der(11)del(11)(q23)t(10;11)[18]/46,XX[7]</t>
  </si>
  <si>
    <t>P27</t>
  </si>
  <si>
    <t>46,XX,t(9;11)(p22;q23)[2]/47,idem,+8[22]</t>
  </si>
  <si>
    <t>P7</t>
  </si>
  <si>
    <t>48,XY,t(10;11)(p12;q23),+19,+21/46,XY,add(12)(p13)</t>
  </si>
  <si>
    <t>P8</t>
  </si>
  <si>
    <t>46,XY,t(9;11)(p21;q23)[25]</t>
  </si>
  <si>
    <t>P77</t>
  </si>
  <si>
    <t>46,XX,der(2)t(1;2)(q23.3;q37),der(6)t(6;17)(p25;q21.32)[12]/47,XX,+mar[7].ish.t(9;11)(p21;q23)/46,XX[1]</t>
  </si>
  <si>
    <t>46XX, t(8;15)(p21;q22), t(11;19)(q23;p13)</t>
  </si>
  <si>
    <t>P70</t>
  </si>
  <si>
    <t>KMT2A::AFDN</t>
  </si>
  <si>
    <t>46,XX,t(6;11)(q27;q23)[21]	46;XX,t(6;11)(q27;q23)[17] /47,idem,+21[3]</t>
  </si>
  <si>
    <t>46;XX,t(6;11)(q27;q23)[17] /47,idem,+21[3]</t>
  </si>
  <si>
    <t>P110</t>
  </si>
  <si>
    <t>46,XX,t(10;11)(p12;q23),der(21)del(21)(q22q22)dup(21)(q22q22)[16]/46,idem,del(9)(q21q34)[9]</t>
  </si>
  <si>
    <t>R1: ??,?X,der(11)(q23),+der(11)(q23)(16,7%)/??,?X(83,3%), R2: ??,?X,der(11)(q23),+der(11)(q23)(55,2%)/??,?X(40,8%)</t>
  </si>
  <si>
    <t>P23</t>
  </si>
  <si>
    <t>44,XX,ins(3;9)(q2?6;?),der(4)t(4;11)(p16;p11)t(4;11)(q21;q23),der(9)t(4;9)(q21;p1?3),der(11;17)(q10;q10)dup(11)(q?q?)t(9;11)(p2?2;q23),der(12;15)(q10;q10)[23]</t>
  </si>
  <si>
    <t>2006-10-13 (78): 43,XX,ins(3;9)(q2?6;?),der(4)t(4;11)(p16;p11)t(4;11)(q21;q23),der(9)t(4;9)(q21;p1?3),-10,der(11;17)(q10;q10)dup(11)(q?q?)t(9;11)(p2?2;q23),der(12;15)(q10;q10)[5]/46,XX[19] ; 2006-12-06 (132): 44,XX,der(1)t(1;1)(p35;q44),ins(3;9)(q2?6;?),der(4)t(4;11)(p16;p11)t(4;11)(q21;q23),add(7)(q36),add(8)(p11),der(9)t(4;9)(q21;p1?3),-10,der(11;17)(q10;q10)dup(11)(q?q?)t(9;11)(p2?2;q23),der(12;15)(q10;q10)+mar[25] ; ??,?X,der(11)(q23)[80,2%]/??,?X[14,6%]</t>
  </si>
  <si>
    <t>P63</t>
  </si>
  <si>
    <t>46,XX[14].ish.pcr.t(9;11)(p21;q23)</t>
  </si>
  <si>
    <t>46,XX,add(11)q?)[5] / 46,XX,del(1)(q?),add(11)(p?)[2]</t>
  </si>
  <si>
    <t>P68</t>
  </si>
  <si>
    <t>Early/refractory</t>
  </si>
  <si>
    <t>45,XX,del(1)(p31),der(10)t(10;11)(p12;q23),del(11)(q23),der(21)t(1;21)(p31;p?) MLL/AF10 positive</t>
  </si>
  <si>
    <t>P83</t>
  </si>
  <si>
    <t>Late</t>
  </si>
  <si>
    <t>45,XY,-7,t(10;11)(p12;q23)[13]</t>
  </si>
  <si>
    <t>46,XY,t(1;9)(q22;p23),t(3;18)(q25;p11.2),t(9;11)(p21;q23)[25]</t>
  </si>
  <si>
    <t>P100</t>
  </si>
  <si>
    <t>46,XY,t(9;11)(p22;q23)[9]/46,XX[2]</t>
  </si>
  <si>
    <t>46,XY,del(1)(p36),del(6)(q22),t(9;11)(p22;q23),inv(16)(p?q?[17]</t>
  </si>
  <si>
    <t>P95</t>
  </si>
  <si>
    <t>47,XY,t(9;11)(p21;q23),+19[25]</t>
  </si>
  <si>
    <t>P99</t>
  </si>
  <si>
    <t>46,XX,t(9;11)(p22;q23) [16]/47,idem,+9[9]</t>
  </si>
  <si>
    <t>50,XX,del(3)(p?21),+8,+8,t(9;11)(p22;q23),der(9)t(9;11),add(12)(p11.2),+18[22]/</t>
  </si>
  <si>
    <t>P24</t>
  </si>
  <si>
    <t>KMT2A::ELL</t>
  </si>
  <si>
    <t>46,XX,t(8;15)(p21;q22),t(11;19)(q23;p13)[23]/46,XX,[2]</t>
  </si>
  <si>
    <t>P30</t>
  </si>
  <si>
    <t>49,XY,+4,+der(6)t(6;11)(q27;q23),t(6;11),+10,dup(11)(p11p15)/50-52,idem,+21,+21/47,idem,-4,der(12)t(12;15)(p12;q22),add(13)(p11),-15[9]/46,XY[2]</t>
  </si>
  <si>
    <t>R1: 6-47,XY,t(6;11)(q27;q23),+der(6)t(6;11)(q27;q23),-7,+10,add(12)(p11)[12]/51-52,XY,+4,t(6;11)(q27;q23),+der(6)t(6;11)(q27;q23),+10,+21,+21[4]/46,XY[2], R2:47,XY,t(6;11)(q27;q23),+der(6)t(6;11)(q27;q23),-7,+10,add(12)(p11)[19]/49-51,idem,+2-3mar[2]/46,XY[4], R3: 47,XY,t(6;11)(q27;q23),+der(6)t(6;11)(q27;q23),-7,+10,add(12)(p11)[23]/46,XY[2], R4: 47,XY,t(6;11)(q27;q23),+der(6)t(6;11)(q27;q23),der(7)t(7;12)(p11;q11),+10[25]</t>
  </si>
  <si>
    <t>P32</t>
  </si>
  <si>
    <t>46XY,t(9;11)(p22q23)(3/47,idem,der(1)(p?),+del(1)(q21)(2)/46XY(7)</t>
  </si>
  <si>
    <t>P59</t>
  </si>
  <si>
    <t>47,XY,t(9;11)(p21;q23),+der(9)t(9;11)</t>
  </si>
  <si>
    <t>Parameter</t>
  </si>
  <si>
    <t>Description</t>
  </si>
  <si>
    <t>OU–branching</t>
  </si>
  <si>
    <t>Brownian</t>
  </si>
  <si>
    <t>Markov</t>
  </si>
  <si>
    <t>θ</t>
  </si>
  <si>
    <t>Selection (drift) strength</t>
  </si>
  <si>
    <t>–</t>
  </si>
  <si>
    <t>μ</t>
  </si>
  <si>
    <t>Adaptive equilibrium</t>
  </si>
  <si>
    <t>σ</t>
  </si>
  <si>
    <t>Diffusion coefficient</t>
  </si>
  <si>
    <t>λ</t>
  </si>
  <si>
    <t>Branching / transition rate</t>
  </si>
  <si>
    <t>η</t>
  </si>
  <si>
    <t>Branching perturbation SD</t>
  </si>
  <si>
    <t>Δt</t>
  </si>
  <si>
    <t>Time step</t>
  </si>
  <si>
    <t>T</t>
  </si>
  <si>
    <t>Total duration</t>
  </si>
  <si>
    <t>n</t>
  </si>
  <si>
    <t>Max lineages</t>
  </si>
  <si>
    <t>Seed</t>
  </si>
  <si>
    <t>Random generator</t>
  </si>
  <si>
    <t xml:space="preserve">Patient_ID </t>
  </si>
  <si>
    <t>unique identifier from Ahlgren et al. dataset.</t>
  </si>
  <si>
    <t>disease subtype (B‑ALL, T‑ALL, MPAL, AML).</t>
  </si>
  <si>
    <t xml:space="preserve">Group </t>
  </si>
  <si>
    <t>relapse category (very early, early, late, remission).</t>
  </si>
  <si>
    <t xml:space="preserve">Duration_years </t>
  </si>
  <si>
    <t>scaled simulation duration based on relapse timing</t>
  </si>
  <si>
    <t xml:space="preserve">Final_Clone_Count </t>
  </si>
  <si>
    <t>number of surviving lineages at simulation end</t>
  </si>
  <si>
    <t xml:space="preserve">Final_Trait </t>
  </si>
  <si>
    <t>terminal phenotypic state X(T) averaged across surviving clones</t>
  </si>
  <si>
    <r>
      <t>*Clinical metadata were obtained from SuppData1_ClinicalData</t>
    </r>
    <r>
      <rPr>
        <i/>
        <sz val="11"/>
        <color rgb="FF0E101A"/>
        <rFont val="Arial"/>
        <family val="2"/>
      </rPr>
      <t xml:space="preserve"> </t>
    </r>
    <r>
      <rPr>
        <sz val="11"/>
        <color rgb="FF0E101A"/>
        <rFont val="Arial"/>
        <family val="2"/>
      </rPr>
      <t xml:space="preserve">of Ahlgren et al., Nature Communications (2025, 16:8964). </t>
    </r>
  </si>
  <si>
    <r>
      <rPr>
        <b/>
        <sz val="11"/>
        <rFont val="Arial"/>
        <family val="2"/>
      </rPr>
      <t>Supplementary Table S3:</t>
    </r>
    <r>
      <rPr>
        <sz val="11"/>
        <rFont val="Arial"/>
        <family val="2"/>
      </rPr>
      <t xml:space="preserve"> Group‑level summary of simulated clonal and trait outcomes in Fig 2 simulations</t>
    </r>
  </si>
  <si>
    <r>
      <rPr>
        <b/>
        <sz val="11"/>
        <rFont val="Arial"/>
        <family val="2"/>
      </rPr>
      <t>Supplementary Table S4:</t>
    </r>
    <r>
      <rPr>
        <sz val="11"/>
        <rFont val="Arial"/>
        <family val="2"/>
      </rPr>
      <t xml:space="preserve"> Disease‑level summary of simulated clonal and trait outcomes in Fig 2 simulations</t>
    </r>
  </si>
  <si>
    <r>
      <t xml:space="preserve">Supplementary Table S1: </t>
    </r>
    <r>
      <rPr>
        <sz val="11"/>
        <color theme="1"/>
        <rFont val="Arial"/>
        <family val="2"/>
      </rPr>
      <t>Simulation parameters for Fig 1 models</t>
    </r>
  </si>
  <si>
    <r>
      <rPr>
        <b/>
        <sz val="11"/>
        <rFont val="Arial"/>
        <family val="2"/>
      </rPr>
      <t>Supplementary Table S2:</t>
    </r>
    <r>
      <rPr>
        <sz val="11"/>
        <rFont val="Arial"/>
        <family val="2"/>
      </rPr>
      <t xml:space="preserve"> Clinical Data*</t>
    </r>
  </si>
  <si>
    <t>final_clones</t>
  </si>
  <si>
    <t>total_clones</t>
  </si>
  <si>
    <t>branch_events</t>
  </si>
  <si>
    <t>max_depth</t>
  </si>
  <si>
    <t>Final_Clone_Count</t>
  </si>
  <si>
    <t>Final_Trait</t>
  </si>
  <si>
    <t>Duration_years</t>
  </si>
  <si>
    <r>
      <rPr>
        <b/>
        <sz val="11"/>
        <rFont val="Arial"/>
        <family val="2"/>
      </rPr>
      <t>Supplementary Table S5:</t>
    </r>
    <r>
      <rPr>
        <sz val="11"/>
        <rFont val="Arial"/>
        <family val="2"/>
      </rPr>
      <t xml:space="preserve"> Simulation summary in Fig 2 simulations</t>
    </r>
  </si>
  <si>
    <r>
      <rPr>
        <b/>
        <sz val="11"/>
        <rFont val="Arial"/>
        <family val="2"/>
      </rPr>
      <t>Supplementary Table S6:</t>
    </r>
    <r>
      <rPr>
        <sz val="11"/>
        <rFont val="Arial"/>
        <family val="2"/>
      </rPr>
      <t xml:space="preserve"> Patient‑level simulation outputs in Fig 2 simulations</t>
    </r>
  </si>
  <si>
    <r>
      <rPr>
        <b/>
        <sz val="11"/>
        <rFont val="Arial"/>
        <family val="2"/>
      </rPr>
      <t>Supplementary Table S7:</t>
    </r>
    <r>
      <rPr>
        <sz val="11"/>
        <rFont val="Arial"/>
        <family val="2"/>
      </rPr>
      <t xml:space="preserve"> Lineage metrics summary</t>
    </r>
  </si>
  <si>
    <r>
      <rPr>
        <b/>
        <sz val="11"/>
        <rFont val="Arial"/>
        <family val="2"/>
      </rPr>
      <t>Supplementary Table S8:</t>
    </r>
    <r>
      <rPr>
        <sz val="11"/>
        <rFont val="Arial"/>
        <family val="2"/>
      </rPr>
      <t xml:space="preserve"> Case-Level Model Comparison</t>
    </r>
  </si>
  <si>
    <t>Script</t>
  </si>
  <si>
    <t xml:space="preserve">Main output </t>
  </si>
  <si>
    <t>Manuscript item</t>
  </si>
  <si>
    <t>Figure1_OU_vs_Brownian_vs_Markov.py</t>
  </si>
  <si>
    <t>OU, Brownian, and Markov benchmark trajectories and variance profiles</t>
  </si>
  <si>
    <t>Figure 1</t>
  </si>
  <si>
    <t>Figure2_kmt2a_clinical_data_analysis_by_ou_branching_model.py</t>
  </si>
  <si>
    <t>Cohort-level relapse and disease-subtype summaries</t>
  </si>
  <si>
    <t>Figure 2</t>
  </si>
  <si>
    <t>Figure3_Combined_P15.py</t>
  </si>
  <si>
    <t>P15 trait, clone-count, phase-plane, and lineage panels</t>
  </si>
  <si>
    <t>Figure 3</t>
  </si>
  <si>
    <t>Figure4_P15_OU_Branching_Combined.py</t>
  </si>
  <si>
    <t>P15 clone-fraction and VAF-like trajectory synthesis</t>
  </si>
  <si>
    <t xml:space="preserve">Figure 4 </t>
  </si>
  <si>
    <t>run_case_level_aicc_model_comparison.py</t>
  </si>
  <si>
    <t>Case-level AICc workbook/table and delta-AICc heatmap</t>
  </si>
  <si>
    <t>Figure 5; Supplementary Table S8</t>
  </si>
  <si>
    <t>kmt2a_lineage_analysis.py</t>
  </si>
  <si>
    <t xml:space="preserve">Lineage-derived metrics </t>
  </si>
  <si>
    <t>Supplementary lineage metrics</t>
  </si>
  <si>
    <t>kmt2a_phase_plane_lineage_plots.py</t>
  </si>
  <si>
    <t>Lineage-aware phase-plane plots</t>
  </si>
  <si>
    <t xml:space="preserve">Supporting analyses </t>
  </si>
  <si>
    <t>## Supplementary tables workbook</t>
  </si>
  <si>
    <t>Supplementary table</t>
  </si>
  <si>
    <t>Sheet name</t>
  </si>
  <si>
    <t>Contents</t>
  </si>
  <si>
    <t>Supplementary Table S1</t>
  </si>
  <si>
    <t>Sim_Params</t>
  </si>
  <si>
    <t xml:space="preserve">Simulation parameters for Figure 1 model benchmarking, including OU--Branching, Brownian, and Markov settings. </t>
  </si>
  <si>
    <t xml:space="preserve">Supplementary Table S2 </t>
  </si>
  <si>
    <t>Clinical_Data</t>
  </si>
  <si>
    <t>De-identified clinical metadata from the Ahlgren et al. cohort, including patient ID, disease subtype, relapse group, fusion annotation, and karyotype fields.</t>
  </si>
  <si>
    <t>Supplementary Table S3</t>
  </si>
  <si>
    <t>Group_Summary</t>
  </si>
  <si>
    <t xml:space="preserve">Group-level summaries of simulated final clone count and terminal trait values by relapse group. </t>
  </si>
  <si>
    <t>Supplementary Table S4</t>
  </si>
  <si>
    <t>Disease_Summary</t>
  </si>
  <si>
    <t>Disease-level summaries of simulated final clone count and terminal trait values by disease subtype.</t>
  </si>
  <si>
    <t>Supplementary Table S5</t>
  </si>
  <si>
    <t>Simulation_Summary</t>
  </si>
  <si>
    <t>Patient-level simulation summaries used for Figure 2, including duration, final clone count, and final trait.</t>
  </si>
  <si>
    <t xml:space="preserve">Supplementary Table S6 </t>
  </si>
  <si>
    <t>Patient_Outputs</t>
  </si>
  <si>
    <t>Column definitions and patient-level simulation output annotations.</t>
  </si>
  <si>
    <t xml:space="preserve">Supplementary Table S7 </t>
  </si>
  <si>
    <t>Lineage_Metrics_Summary</t>
  </si>
  <si>
    <t xml:space="preserve">Lineage-level metrics, including final clones, total clones, branch events, maximum depth, patient ID, disease, and relapse group. </t>
  </si>
  <si>
    <t>Supplementary Table S8</t>
  </si>
  <si>
    <t>Case_Level_Model_Comparison</t>
  </si>
  <si>
    <t xml:space="preserve">Case-level likelihood-based model-comparison results for evaluable patients, including time points, disease, group, best model, AICc, Akaike weight, and delta-AICc values for each candidate model. </t>
  </si>
  <si>
    <t>Supplementary Information Guide</t>
  </si>
  <si>
    <t>## Script-to-output map (GitHub: https://github.com/shkim9391/Hybrid_OU_Branching_Pediatric_Leukemia)</t>
  </si>
  <si>
    <t>Patient</t>
  </si>
  <si>
    <t>model</t>
  </si>
  <si>
    <t>best_supported_model</t>
  </si>
  <si>
    <t>is_best_model</t>
  </si>
  <si>
    <t>n_timepoints</t>
  </si>
  <si>
    <t>k</t>
  </si>
  <si>
    <t>ll</t>
  </si>
  <si>
    <t>AIC</t>
  </si>
  <si>
    <t>AICc</t>
  </si>
  <si>
    <t>BIC</t>
  </si>
  <si>
    <t>delta_AICc</t>
  </si>
  <si>
    <t>akaike_weight</t>
  </si>
  <si>
    <t>min_day</t>
  </si>
  <si>
    <t>max_day</t>
  </si>
  <si>
    <t>source_script</t>
  </si>
  <si>
    <t>Infant/Child</t>
  </si>
  <si>
    <t>Survival</t>
  </si>
  <si>
    <t>sigma</t>
  </si>
  <si>
    <t>beta</t>
  </si>
  <si>
    <t>theta</t>
  </si>
  <si>
    <t>mu</t>
  </si>
  <si>
    <t>n_states</t>
  </si>
  <si>
    <t>branch_prob</t>
  </si>
  <si>
    <t>jump_sd</t>
  </si>
  <si>
    <t>success</t>
  </si>
  <si>
    <t>Infant</t>
  </si>
  <si>
    <t>Passed</t>
  </si>
  <si>
    <t>Branching-only drift</t>
  </si>
  <si>
    <t>OU</t>
  </si>
  <si>
    <t>Markov-emission</t>
  </si>
  <si>
    <t>OU-Branching jump</t>
  </si>
  <si>
    <t>Child</t>
  </si>
  <si>
    <t>Alive</t>
  </si>
  <si>
    <t>run_case_level_aicc_model_comparison_longform.py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</si>
</sst>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1"/>
      <color theme="3"/>
      <name val="Arial"/>
      <family val="2"/>
    </font>
    <font>
      <sz val="10"/>
      <color indexed="8"/>
      <name val="Arial"/>
      <family val="2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2"/>
      <name val="Aptos Narrow"/>
      <family val="2"/>
      <scheme val="minor"/>
    </font>
    <font>
      <i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E101A"/>
      <name val="Arial"/>
      <family val="2"/>
    </font>
    <font>
      <i/>
      <sz val="11"/>
      <color rgb="FF0E101A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4" fillId="0" borderId="1" xfId="0" applyFont="1" applyBorder="1"/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7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7" fillId="0" borderId="0" xfId="0" applyFont="1"/>
    <xf numFmtId="0" fontId="5" fillId="0" borderId="0" xfId="1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8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3" fillId="0" borderId="0" xfId="0" applyFont="1"/>
    <xf numFmtId="0" fontId="13" fillId="0" borderId="0" xfId="0" applyFont="1"/>
    <xf numFmtId="0" fontId="16" fillId="0" borderId="0" xfId="0" applyFont="1"/>
    <xf numFmtId="0" fontId="15" fillId="0" borderId="0" xfId="0" applyFont="1"/>
    <xf numFmtId="0" fontId="16" fillId="0" borderId="1" xfId="0" applyFont="1" applyBorder="1"/>
    <xf numFmtId="0" fontId="17" fillId="0" borderId="0" xfId="0" applyFont="1"/>
    <xf numFmtId="0" fontId="17" fillId="0" borderId="1" xfId="0" applyFont="1" applyBorder="1"/>
    <xf numFmtId="0" fontId="0" fillId="0" borderId="2" xfId="0" applyBorder="1"/>
    <xf numFmtId="0" fontId="19" fillId="0" borderId="0" xfId="0" applyFont="1"/>
    <xf numFmtId="0" fontId="18" fillId="0" borderId="0" xfId="0" applyFont="1"/>
    <xf numFmtId="11" fontId="18" fillId="0" borderId="0" xfId="0" applyNumberFormat="1" applyFont="1"/>
  </cellXfs>
  <cellStyles count="2">
    <cellStyle name="Normal" xfId="0" builtinId="0"/>
    <cellStyle name="Normal_Sheet2" xfId="1" xr:uid="{05FDEAF9-A8F3-C24A-A6E9-5EA44E98395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9B8A-D25A-004F-8241-B6A68A24FB33}">
  <dimension ref="A1:C22"/>
  <sheetViews>
    <sheetView tabSelected="1" workbookViewId="0"/>
  </sheetViews>
  <sheetFormatPr baseColWidth="10" defaultRowHeight="16" x14ac:dyDescent="0.2"/>
  <cols>
    <col min="1" max="1" width="55" customWidth="1"/>
    <col min="2" max="2" width="59" customWidth="1"/>
    <col min="3" max="3" width="159.33203125" customWidth="1"/>
  </cols>
  <sheetData>
    <row r="1" spans="1:3" x14ac:dyDescent="0.2">
      <c r="A1" s="25" t="s">
        <v>246</v>
      </c>
    </row>
    <row r="3" spans="1:3" x14ac:dyDescent="0.2">
      <c r="A3" s="25" t="s">
        <v>218</v>
      </c>
    </row>
    <row r="4" spans="1:3" ht="17" thickBot="1" x14ac:dyDescent="0.25">
      <c r="A4" s="26" t="s">
        <v>219</v>
      </c>
      <c r="B4" s="26" t="s">
        <v>220</v>
      </c>
      <c r="C4" s="26" t="s">
        <v>221</v>
      </c>
    </row>
    <row r="5" spans="1:3" ht="17" thickTop="1" x14ac:dyDescent="0.2">
      <c r="A5" t="s">
        <v>222</v>
      </c>
      <c r="B5" t="s">
        <v>223</v>
      </c>
      <c r="C5" t="s">
        <v>224</v>
      </c>
    </row>
    <row r="6" spans="1:3" x14ac:dyDescent="0.2">
      <c r="A6" t="s">
        <v>225</v>
      </c>
      <c r="B6" t="s">
        <v>226</v>
      </c>
      <c r="C6" t="s">
        <v>227</v>
      </c>
    </row>
    <row r="7" spans="1:3" x14ac:dyDescent="0.2">
      <c r="A7" t="s">
        <v>228</v>
      </c>
      <c r="B7" t="s">
        <v>229</v>
      </c>
      <c r="C7" t="s">
        <v>230</v>
      </c>
    </row>
    <row r="8" spans="1:3" x14ac:dyDescent="0.2">
      <c r="A8" t="s">
        <v>231</v>
      </c>
      <c r="B8" t="s">
        <v>232</v>
      </c>
      <c r="C8" t="s">
        <v>233</v>
      </c>
    </row>
    <row r="9" spans="1:3" x14ac:dyDescent="0.2">
      <c r="A9" t="s">
        <v>234</v>
      </c>
      <c r="B9" t="s">
        <v>235</v>
      </c>
      <c r="C9" t="s">
        <v>236</v>
      </c>
    </row>
    <row r="10" spans="1:3" x14ac:dyDescent="0.2">
      <c r="A10" t="s">
        <v>237</v>
      </c>
      <c r="B10" t="s">
        <v>238</v>
      </c>
      <c r="C10" t="s">
        <v>239</v>
      </c>
    </row>
    <row r="11" spans="1:3" x14ac:dyDescent="0.2">
      <c r="A11" t="s">
        <v>240</v>
      </c>
      <c r="B11" t="s">
        <v>241</v>
      </c>
      <c r="C11" t="s">
        <v>242</v>
      </c>
    </row>
    <row r="12" spans="1:3" x14ac:dyDescent="0.2">
      <c r="A12" s="27" t="s">
        <v>243</v>
      </c>
      <c r="B12" s="27" t="s">
        <v>244</v>
      </c>
      <c r="C12" s="27" t="s">
        <v>245</v>
      </c>
    </row>
    <row r="14" spans="1:3" x14ac:dyDescent="0.2">
      <c r="A14" s="25" t="s">
        <v>247</v>
      </c>
    </row>
    <row r="15" spans="1:3" ht="17" thickBot="1" x14ac:dyDescent="0.25">
      <c r="A15" s="26" t="s">
        <v>194</v>
      </c>
      <c r="B15" s="26" t="s">
        <v>195</v>
      </c>
      <c r="C15" s="26" t="s">
        <v>196</v>
      </c>
    </row>
    <row r="16" spans="1:3" ht="17" thickTop="1" x14ac:dyDescent="0.2">
      <c r="A16" t="s">
        <v>197</v>
      </c>
      <c r="B16" t="s">
        <v>198</v>
      </c>
      <c r="C16" t="s">
        <v>199</v>
      </c>
    </row>
    <row r="17" spans="1:3" x14ac:dyDescent="0.2">
      <c r="A17" t="s">
        <v>200</v>
      </c>
      <c r="B17" t="s">
        <v>201</v>
      </c>
      <c r="C17" t="s">
        <v>202</v>
      </c>
    </row>
    <row r="18" spans="1:3" x14ac:dyDescent="0.2">
      <c r="A18" t="s">
        <v>203</v>
      </c>
      <c r="B18" t="s">
        <v>204</v>
      </c>
      <c r="C18" t="s">
        <v>205</v>
      </c>
    </row>
    <row r="19" spans="1:3" x14ac:dyDescent="0.2">
      <c r="A19" t="s">
        <v>206</v>
      </c>
      <c r="B19" t="s">
        <v>207</v>
      </c>
      <c r="C19" t="s">
        <v>208</v>
      </c>
    </row>
    <row r="20" spans="1:3" x14ac:dyDescent="0.2">
      <c r="A20" t="s">
        <v>281</v>
      </c>
      <c r="B20" t="s">
        <v>210</v>
      </c>
      <c r="C20" t="s">
        <v>211</v>
      </c>
    </row>
    <row r="21" spans="1:3" x14ac:dyDescent="0.2">
      <c r="A21" t="s">
        <v>212</v>
      </c>
      <c r="B21" t="s">
        <v>213</v>
      </c>
      <c r="C21" t="s">
        <v>214</v>
      </c>
    </row>
    <row r="22" spans="1:3" x14ac:dyDescent="0.2">
      <c r="A22" s="27" t="s">
        <v>215</v>
      </c>
      <c r="B22" s="27" t="s">
        <v>216</v>
      </c>
      <c r="C22" s="27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7BAF-6C4F-2D4A-A056-91AA627A359D}">
  <dimension ref="A1:E13"/>
  <sheetViews>
    <sheetView workbookViewId="0"/>
  </sheetViews>
  <sheetFormatPr baseColWidth="10" defaultRowHeight="16" x14ac:dyDescent="0.2"/>
  <cols>
    <col min="2" max="2" width="12.1640625" customWidth="1"/>
    <col min="3" max="3" width="13.5" customWidth="1"/>
  </cols>
  <sheetData>
    <row r="1" spans="1:5" x14ac:dyDescent="0.2">
      <c r="A1" s="13" t="s">
        <v>181</v>
      </c>
      <c r="B1" s="15"/>
      <c r="C1" s="15"/>
      <c r="D1" s="15"/>
      <c r="E1" s="15"/>
    </row>
    <row r="2" spans="1:5" x14ac:dyDescent="0.2">
      <c r="A2" s="15"/>
      <c r="B2" s="15"/>
      <c r="C2" s="15"/>
      <c r="D2" s="15"/>
      <c r="E2" s="15"/>
    </row>
    <row r="3" spans="1:5" x14ac:dyDescent="0.2">
      <c r="A3" s="15"/>
      <c r="B3" s="15"/>
      <c r="C3" s="15"/>
      <c r="D3" s="15"/>
      <c r="E3" s="15"/>
    </row>
    <row r="4" spans="1:5" ht="31" thickBot="1" x14ac:dyDescent="0.25">
      <c r="A4" s="16" t="s">
        <v>143</v>
      </c>
      <c r="B4" s="16" t="s">
        <v>144</v>
      </c>
      <c r="C4" s="16" t="s">
        <v>145</v>
      </c>
      <c r="D4" s="16" t="s">
        <v>146</v>
      </c>
      <c r="E4" s="16" t="s">
        <v>147</v>
      </c>
    </row>
    <row r="5" spans="1:5" ht="46" thickTop="1" x14ac:dyDescent="0.2">
      <c r="A5" s="17" t="s">
        <v>148</v>
      </c>
      <c r="B5" s="18" t="s">
        <v>149</v>
      </c>
      <c r="C5" s="19">
        <v>1</v>
      </c>
      <c r="D5" s="19">
        <v>0</v>
      </c>
      <c r="E5" s="19" t="s">
        <v>150</v>
      </c>
    </row>
    <row r="6" spans="1:5" ht="30" x14ac:dyDescent="0.2">
      <c r="A6" s="17" t="s">
        <v>151</v>
      </c>
      <c r="B6" s="18" t="s">
        <v>152</v>
      </c>
      <c r="C6" s="19">
        <v>0</v>
      </c>
      <c r="D6" s="19" t="s">
        <v>150</v>
      </c>
      <c r="E6" s="19" t="s">
        <v>150</v>
      </c>
    </row>
    <row r="7" spans="1:5" ht="30" x14ac:dyDescent="0.2">
      <c r="A7" s="17" t="s">
        <v>153</v>
      </c>
      <c r="B7" s="18" t="s">
        <v>154</v>
      </c>
      <c r="C7" s="19">
        <v>0.25</v>
      </c>
      <c r="D7" s="19">
        <v>0.25</v>
      </c>
      <c r="E7" s="19" t="s">
        <v>150</v>
      </c>
    </row>
    <row r="8" spans="1:5" ht="30" x14ac:dyDescent="0.2">
      <c r="A8" s="17" t="s">
        <v>155</v>
      </c>
      <c r="B8" s="18" t="s">
        <v>156</v>
      </c>
      <c r="C8" s="19">
        <v>0.3</v>
      </c>
      <c r="D8" s="19" t="s">
        <v>150</v>
      </c>
      <c r="E8" s="19">
        <v>0.3</v>
      </c>
    </row>
    <row r="9" spans="1:5" ht="45" x14ac:dyDescent="0.2">
      <c r="A9" s="17" t="s">
        <v>157</v>
      </c>
      <c r="B9" s="18" t="s">
        <v>158</v>
      </c>
      <c r="C9" s="19">
        <v>0.05</v>
      </c>
      <c r="D9" s="19" t="s">
        <v>150</v>
      </c>
      <c r="E9" s="19" t="s">
        <v>150</v>
      </c>
    </row>
    <row r="10" spans="1:5" x14ac:dyDescent="0.2">
      <c r="A10" s="17" t="s">
        <v>159</v>
      </c>
      <c r="B10" s="18" t="s">
        <v>160</v>
      </c>
      <c r="C10" s="19">
        <v>0.01</v>
      </c>
      <c r="D10" s="19">
        <v>0.01</v>
      </c>
      <c r="E10" s="19">
        <v>0.01</v>
      </c>
    </row>
    <row r="11" spans="1:5" x14ac:dyDescent="0.2">
      <c r="A11" s="17" t="s">
        <v>161</v>
      </c>
      <c r="B11" s="18" t="s">
        <v>162</v>
      </c>
      <c r="C11" s="19">
        <v>10</v>
      </c>
      <c r="D11" s="19">
        <v>10</v>
      </c>
      <c r="E11" s="19">
        <v>10</v>
      </c>
    </row>
    <row r="12" spans="1:5" x14ac:dyDescent="0.2">
      <c r="A12" s="17" t="s">
        <v>163</v>
      </c>
      <c r="B12" s="18" t="s">
        <v>164</v>
      </c>
      <c r="C12" s="19">
        <v>10</v>
      </c>
      <c r="D12" s="19" t="s">
        <v>150</v>
      </c>
      <c r="E12" s="19" t="s">
        <v>150</v>
      </c>
    </row>
    <row r="13" spans="1:5" ht="30" x14ac:dyDescent="0.2">
      <c r="A13" s="18" t="s">
        <v>165</v>
      </c>
      <c r="B13" s="18" t="s">
        <v>166</v>
      </c>
      <c r="C13" s="19">
        <v>42</v>
      </c>
      <c r="D13" s="19">
        <v>42</v>
      </c>
      <c r="E13" s="19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6373-E7FE-D84E-B641-8DAA12A06DBC}">
  <dimension ref="A1:AH158"/>
  <sheetViews>
    <sheetView workbookViewId="0"/>
  </sheetViews>
  <sheetFormatPr baseColWidth="10" defaultRowHeight="16" x14ac:dyDescent="0.2"/>
  <sheetData>
    <row r="1" spans="1:34" x14ac:dyDescent="0.2">
      <c r="A1" s="2" t="s">
        <v>182</v>
      </c>
      <c r="B1" s="1"/>
      <c r="C1" s="1"/>
      <c r="D1" s="1"/>
      <c r="E1" s="1"/>
      <c r="F1" s="1"/>
      <c r="G1" s="1"/>
    </row>
    <row r="2" spans="1:34" x14ac:dyDescent="0.2">
      <c r="A2" s="21" t="s">
        <v>178</v>
      </c>
      <c r="B2" s="1"/>
      <c r="C2" s="1"/>
      <c r="D2" s="1"/>
      <c r="E2" s="1"/>
      <c r="F2" s="1"/>
      <c r="G2" s="1"/>
    </row>
    <row r="3" spans="1:34" x14ac:dyDescent="0.2">
      <c r="A3" s="1"/>
      <c r="B3" s="1"/>
      <c r="C3" s="1"/>
      <c r="D3" s="1"/>
      <c r="E3" s="1"/>
      <c r="F3" s="1"/>
      <c r="G3" s="1"/>
    </row>
    <row r="4" spans="1:34" ht="17" thickBo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7" thickTop="1" x14ac:dyDescent="0.2">
      <c r="A5" s="5" t="s">
        <v>7</v>
      </c>
      <c r="B5" s="6" t="s">
        <v>8</v>
      </c>
      <c r="C5" s="5" t="s">
        <v>9</v>
      </c>
      <c r="D5" s="7" t="s">
        <v>10</v>
      </c>
      <c r="E5" s="5" t="s">
        <v>11</v>
      </c>
      <c r="F5" s="5" t="s">
        <v>12</v>
      </c>
      <c r="G5" s="5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x14ac:dyDescent="0.2">
      <c r="A6" s="5" t="s">
        <v>13</v>
      </c>
      <c r="B6" s="6" t="s">
        <v>8</v>
      </c>
      <c r="C6" s="5" t="s">
        <v>9</v>
      </c>
      <c r="D6" s="7" t="s">
        <v>14</v>
      </c>
      <c r="E6" s="5" t="s">
        <v>11</v>
      </c>
      <c r="F6" s="5" t="s">
        <v>15</v>
      </c>
      <c r="G6" s="5" t="s">
        <v>11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">
      <c r="A7" s="5" t="s">
        <v>16</v>
      </c>
      <c r="B7" s="6" t="s">
        <v>8</v>
      </c>
      <c r="C7" s="5" t="s">
        <v>9</v>
      </c>
      <c r="D7" s="7" t="s">
        <v>17</v>
      </c>
      <c r="E7" s="5" t="s">
        <v>11</v>
      </c>
      <c r="F7" s="5" t="s">
        <v>18</v>
      </c>
      <c r="G7" s="5" t="s">
        <v>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">
      <c r="A8" s="5" t="s">
        <v>19</v>
      </c>
      <c r="B8" s="6" t="s">
        <v>8</v>
      </c>
      <c r="C8" s="5" t="s">
        <v>9</v>
      </c>
      <c r="D8" s="7" t="s">
        <v>20</v>
      </c>
      <c r="E8" s="5" t="s">
        <v>11</v>
      </c>
      <c r="F8" s="5" t="s">
        <v>21</v>
      </c>
      <c r="G8" s="5" t="s">
        <v>11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">
      <c r="A9" s="5" t="s">
        <v>22</v>
      </c>
      <c r="B9" s="6" t="s">
        <v>8</v>
      </c>
      <c r="C9" s="5" t="s">
        <v>9</v>
      </c>
      <c r="D9" s="7" t="s">
        <v>20</v>
      </c>
      <c r="E9" s="5" t="s">
        <v>11</v>
      </c>
      <c r="F9" s="6" t="s">
        <v>23</v>
      </c>
      <c r="G9" s="6" t="s">
        <v>11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">
      <c r="A10" s="5" t="s">
        <v>24</v>
      </c>
      <c r="B10" s="6" t="s">
        <v>8</v>
      </c>
      <c r="C10" s="5" t="s">
        <v>9</v>
      </c>
      <c r="D10" s="7" t="s">
        <v>10</v>
      </c>
      <c r="E10" s="5" t="s">
        <v>11</v>
      </c>
      <c r="F10" s="5" t="s">
        <v>25</v>
      </c>
      <c r="G10" s="5" t="s">
        <v>11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">
      <c r="A11" s="5" t="s">
        <v>26</v>
      </c>
      <c r="B11" s="6" t="s">
        <v>27</v>
      </c>
      <c r="C11" s="5" t="s">
        <v>9</v>
      </c>
      <c r="D11" s="7" t="s">
        <v>28</v>
      </c>
      <c r="E11" s="5" t="s">
        <v>11</v>
      </c>
      <c r="F11" s="5" t="s">
        <v>29</v>
      </c>
      <c r="G11" s="5" t="s">
        <v>11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61" x14ac:dyDescent="0.2">
      <c r="A12" s="6" t="s">
        <v>30</v>
      </c>
      <c r="B12" s="6" t="s">
        <v>8</v>
      </c>
      <c r="C12" s="8" t="s">
        <v>31</v>
      </c>
      <c r="D12" s="9" t="s">
        <v>32</v>
      </c>
      <c r="E12" s="9" t="s">
        <v>32</v>
      </c>
      <c r="F12" s="10" t="s">
        <v>33</v>
      </c>
      <c r="G12" s="10" t="s">
        <v>34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61" x14ac:dyDescent="0.2">
      <c r="A13" s="6" t="s">
        <v>35</v>
      </c>
      <c r="B13" s="6" t="s">
        <v>8</v>
      </c>
      <c r="C13" s="8" t="s">
        <v>31</v>
      </c>
      <c r="D13" s="11" t="s">
        <v>20</v>
      </c>
      <c r="E13" s="11" t="s">
        <v>20</v>
      </c>
      <c r="F13" s="10" t="s">
        <v>36</v>
      </c>
      <c r="G13" s="10" t="s">
        <v>34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1" x14ac:dyDescent="0.2">
      <c r="A14" s="6" t="s">
        <v>37</v>
      </c>
      <c r="B14" s="6" t="s">
        <v>8</v>
      </c>
      <c r="C14" s="8" t="s">
        <v>31</v>
      </c>
      <c r="D14" s="11" t="s">
        <v>14</v>
      </c>
      <c r="E14" s="11" t="s">
        <v>14</v>
      </c>
      <c r="F14" s="10" t="s">
        <v>38</v>
      </c>
      <c r="G14" s="10" t="s">
        <v>34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96" x14ac:dyDescent="0.2">
      <c r="A15" s="6" t="s">
        <v>39</v>
      </c>
      <c r="B15" s="6" t="s">
        <v>8</v>
      </c>
      <c r="C15" s="8" t="s">
        <v>31</v>
      </c>
      <c r="D15" s="9" t="s">
        <v>10</v>
      </c>
      <c r="E15" s="9" t="s">
        <v>10</v>
      </c>
      <c r="F15" s="10" t="s">
        <v>40</v>
      </c>
      <c r="G15" s="12" t="s">
        <v>34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">
      <c r="A16" s="6" t="s">
        <v>41</v>
      </c>
      <c r="B16" s="6" t="s">
        <v>8</v>
      </c>
      <c r="C16" s="8" t="s">
        <v>31</v>
      </c>
      <c r="D16" s="11" t="s">
        <v>14</v>
      </c>
      <c r="E16" s="11" t="s">
        <v>14</v>
      </c>
      <c r="F16" s="10" t="s">
        <v>34</v>
      </c>
      <c r="G16" s="12" t="s">
        <v>34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">
      <c r="A17" s="5" t="s">
        <v>42</v>
      </c>
      <c r="B17" s="6" t="s">
        <v>8</v>
      </c>
      <c r="C17" s="8" t="s">
        <v>31</v>
      </c>
      <c r="D17" s="7" t="s">
        <v>20</v>
      </c>
      <c r="E17" s="7" t="s">
        <v>20</v>
      </c>
      <c r="F17" s="5" t="s">
        <v>43</v>
      </c>
      <c r="G17" s="6" t="s">
        <v>44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">
      <c r="A18" s="5" t="s">
        <v>45</v>
      </c>
      <c r="B18" s="6" t="s">
        <v>8</v>
      </c>
      <c r="C18" s="8" t="s">
        <v>31</v>
      </c>
      <c r="D18" s="7" t="s">
        <v>20</v>
      </c>
      <c r="E18" s="7" t="s">
        <v>20</v>
      </c>
      <c r="F18" s="5" t="s">
        <v>46</v>
      </c>
      <c r="G18" s="5" t="s">
        <v>47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">
      <c r="A19" s="5" t="s">
        <v>48</v>
      </c>
      <c r="B19" s="6" t="s">
        <v>8</v>
      </c>
      <c r="C19" s="8" t="s">
        <v>31</v>
      </c>
      <c r="D19" s="7" t="s">
        <v>10</v>
      </c>
      <c r="E19" s="7" t="s">
        <v>10</v>
      </c>
      <c r="F19" s="5" t="s">
        <v>49</v>
      </c>
      <c r="G19" s="5" t="s">
        <v>34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">
      <c r="A20" s="5" t="s">
        <v>50</v>
      </c>
      <c r="B20" s="6" t="s">
        <v>8</v>
      </c>
      <c r="C20" s="8" t="s">
        <v>51</v>
      </c>
      <c r="D20" s="7" t="s">
        <v>14</v>
      </c>
      <c r="E20" s="7" t="s">
        <v>14</v>
      </c>
      <c r="F20" s="5" t="s">
        <v>52</v>
      </c>
      <c r="G20" s="5" t="s">
        <v>53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">
      <c r="A21" s="5" t="s">
        <v>54</v>
      </c>
      <c r="B21" s="6" t="s">
        <v>8</v>
      </c>
      <c r="C21" s="8" t="s">
        <v>51</v>
      </c>
      <c r="D21" s="7" t="s">
        <v>14</v>
      </c>
      <c r="E21" s="7" t="s">
        <v>14</v>
      </c>
      <c r="F21" s="5" t="s">
        <v>55</v>
      </c>
      <c r="G21" s="5" t="s">
        <v>34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">
      <c r="A22" s="5" t="s">
        <v>56</v>
      </c>
      <c r="B22" s="6" t="s">
        <v>8</v>
      </c>
      <c r="C22" s="8" t="s">
        <v>51</v>
      </c>
      <c r="D22" s="7" t="s">
        <v>20</v>
      </c>
      <c r="E22" s="7" t="s">
        <v>20</v>
      </c>
      <c r="F22" s="5" t="s">
        <v>57</v>
      </c>
      <c r="G22" s="5" t="s">
        <v>34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">
      <c r="A23" s="5" t="s">
        <v>58</v>
      </c>
      <c r="B23" s="6" t="s">
        <v>8</v>
      </c>
      <c r="C23" s="8" t="s">
        <v>59</v>
      </c>
      <c r="D23" s="7" t="s">
        <v>14</v>
      </c>
      <c r="E23" s="7" t="s">
        <v>14</v>
      </c>
      <c r="F23" s="5" t="s">
        <v>60</v>
      </c>
      <c r="G23" s="5" t="s">
        <v>34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">
      <c r="A24" s="5" t="s">
        <v>61</v>
      </c>
      <c r="B24" s="6" t="s">
        <v>8</v>
      </c>
      <c r="C24" s="8" t="s">
        <v>59</v>
      </c>
      <c r="D24" s="7" t="s">
        <v>28</v>
      </c>
      <c r="E24" s="7" t="s">
        <v>28</v>
      </c>
      <c r="F24" s="5" t="s">
        <v>62</v>
      </c>
      <c r="G24" s="5" t="s">
        <v>34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136" x14ac:dyDescent="0.2">
      <c r="A25" s="5" t="s">
        <v>63</v>
      </c>
      <c r="B25" s="6" t="s">
        <v>8</v>
      </c>
      <c r="C25" s="8" t="s">
        <v>59</v>
      </c>
      <c r="D25" s="11" t="s">
        <v>14</v>
      </c>
      <c r="E25" s="11" t="s">
        <v>14</v>
      </c>
      <c r="F25" s="10" t="s">
        <v>64</v>
      </c>
      <c r="G25" s="10" t="s">
        <v>34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">
      <c r="A26" s="5" t="s">
        <v>65</v>
      </c>
      <c r="B26" s="6" t="s">
        <v>8</v>
      </c>
      <c r="C26" s="8" t="s">
        <v>59</v>
      </c>
      <c r="D26" s="11" t="s">
        <v>14</v>
      </c>
      <c r="E26" s="11" t="s">
        <v>14</v>
      </c>
      <c r="F26" s="10" t="s">
        <v>34</v>
      </c>
      <c r="G26" s="10" t="s">
        <v>34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61" x14ac:dyDescent="0.2">
      <c r="A27" s="5" t="s">
        <v>66</v>
      </c>
      <c r="B27" s="6" t="s">
        <v>8</v>
      </c>
      <c r="C27" s="8" t="s">
        <v>59</v>
      </c>
      <c r="D27" s="11" t="s">
        <v>14</v>
      </c>
      <c r="E27" s="11" t="s">
        <v>14</v>
      </c>
      <c r="F27" s="10" t="s">
        <v>67</v>
      </c>
      <c r="G27" s="10" t="s">
        <v>34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">
      <c r="A28" s="5" t="s">
        <v>68</v>
      </c>
      <c r="B28" s="6" t="s">
        <v>8</v>
      </c>
      <c r="C28" s="8" t="s">
        <v>59</v>
      </c>
      <c r="D28" s="11" t="s">
        <v>14</v>
      </c>
      <c r="E28" s="11" t="s">
        <v>14</v>
      </c>
      <c r="F28" s="10" t="s">
        <v>34</v>
      </c>
      <c r="G28" s="10" t="s">
        <v>34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">
      <c r="A29" s="5" t="s">
        <v>69</v>
      </c>
      <c r="B29" s="6" t="s">
        <v>8</v>
      </c>
      <c r="C29" s="8" t="s">
        <v>59</v>
      </c>
      <c r="D29" s="11" t="s">
        <v>14</v>
      </c>
      <c r="E29" s="11" t="s">
        <v>14</v>
      </c>
      <c r="F29" s="10" t="s">
        <v>70</v>
      </c>
      <c r="G29" s="10" t="s">
        <v>34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">
      <c r="A30" s="5" t="s">
        <v>71</v>
      </c>
      <c r="B30" s="6" t="s">
        <v>8</v>
      </c>
      <c r="C30" s="6" t="s">
        <v>59</v>
      </c>
      <c r="D30" s="11" t="s">
        <v>14</v>
      </c>
      <c r="E30" s="11" t="s">
        <v>14</v>
      </c>
      <c r="F30" s="12" t="s">
        <v>72</v>
      </c>
      <c r="G30" s="12" t="s">
        <v>34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">
      <c r="A31" s="5" t="s">
        <v>73</v>
      </c>
      <c r="B31" s="6" t="s">
        <v>8</v>
      </c>
      <c r="C31" s="8" t="s">
        <v>59</v>
      </c>
      <c r="D31" s="11" t="s">
        <v>14</v>
      </c>
      <c r="E31" s="11" t="s">
        <v>14</v>
      </c>
      <c r="F31" s="6" t="s">
        <v>74</v>
      </c>
      <c r="G31" s="5" t="s">
        <v>75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">
      <c r="A32" s="5" t="s">
        <v>76</v>
      </c>
      <c r="B32" s="6" t="s">
        <v>8</v>
      </c>
      <c r="C32" s="8" t="s">
        <v>59</v>
      </c>
      <c r="D32" s="7" t="s">
        <v>20</v>
      </c>
      <c r="E32" s="7" t="s">
        <v>20</v>
      </c>
      <c r="F32" s="6" t="s">
        <v>77</v>
      </c>
      <c r="G32" s="6" t="s">
        <v>34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">
      <c r="A33" s="5" t="s">
        <v>78</v>
      </c>
      <c r="B33" s="6" t="s">
        <v>8</v>
      </c>
      <c r="C33" s="8" t="s">
        <v>59</v>
      </c>
      <c r="D33" s="7" t="s">
        <v>79</v>
      </c>
      <c r="E33" s="7" t="s">
        <v>79</v>
      </c>
      <c r="F33" s="5" t="s">
        <v>80</v>
      </c>
      <c r="G33" s="5" t="s">
        <v>81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">
      <c r="A34" s="5" t="s">
        <v>82</v>
      </c>
      <c r="B34" s="6" t="s">
        <v>8</v>
      </c>
      <c r="C34" s="8" t="s">
        <v>59</v>
      </c>
      <c r="D34" s="7" t="s">
        <v>14</v>
      </c>
      <c r="E34" s="7" t="s">
        <v>14</v>
      </c>
      <c r="F34" s="5" t="s">
        <v>83</v>
      </c>
      <c r="G34" s="6" t="s">
        <v>84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">
      <c r="A35" s="5" t="s">
        <v>85</v>
      </c>
      <c r="B35" s="6" t="s">
        <v>86</v>
      </c>
      <c r="C35" s="8" t="s">
        <v>59</v>
      </c>
      <c r="D35" s="7" t="s">
        <v>14</v>
      </c>
      <c r="E35" s="7" t="s">
        <v>14</v>
      </c>
      <c r="F35" s="5" t="s">
        <v>87</v>
      </c>
      <c r="G35" s="5" t="s">
        <v>34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">
      <c r="A36" s="5" t="s">
        <v>88</v>
      </c>
      <c r="B36" s="6" t="s">
        <v>8</v>
      </c>
      <c r="C36" s="8" t="s">
        <v>59</v>
      </c>
      <c r="D36" s="7" t="s">
        <v>28</v>
      </c>
      <c r="E36" s="7" t="s">
        <v>28</v>
      </c>
      <c r="F36" s="5" t="s">
        <v>89</v>
      </c>
      <c r="G36" s="5" t="s">
        <v>75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x14ac:dyDescent="0.2">
      <c r="A37" s="5" t="s">
        <v>90</v>
      </c>
      <c r="B37" s="6" t="s">
        <v>8</v>
      </c>
      <c r="C37" s="8" t="s">
        <v>59</v>
      </c>
      <c r="D37" s="7" t="s">
        <v>28</v>
      </c>
      <c r="E37" s="7" t="s">
        <v>28</v>
      </c>
      <c r="F37" s="5" t="s">
        <v>34</v>
      </c>
      <c r="G37" s="5" t="s">
        <v>34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x14ac:dyDescent="0.2">
      <c r="A38" s="5" t="s">
        <v>91</v>
      </c>
      <c r="B38" s="6" t="s">
        <v>8</v>
      </c>
      <c r="C38" s="8" t="s">
        <v>59</v>
      </c>
      <c r="D38" s="7" t="s">
        <v>92</v>
      </c>
      <c r="E38" s="7" t="s">
        <v>92</v>
      </c>
      <c r="F38" s="5" t="s">
        <v>34</v>
      </c>
      <c r="G38" s="5" t="s">
        <v>34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x14ac:dyDescent="0.2">
      <c r="A39" s="5" t="s">
        <v>93</v>
      </c>
      <c r="B39" s="6" t="s">
        <v>94</v>
      </c>
      <c r="C39" s="5" t="s">
        <v>9</v>
      </c>
      <c r="D39" s="7" t="s">
        <v>28</v>
      </c>
      <c r="E39" s="5" t="s">
        <v>11</v>
      </c>
      <c r="F39" s="6" t="s">
        <v>95</v>
      </c>
      <c r="G39" s="6" t="s">
        <v>11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x14ac:dyDescent="0.2">
      <c r="A40" s="5" t="s">
        <v>96</v>
      </c>
      <c r="B40" s="6" t="s">
        <v>94</v>
      </c>
      <c r="C40" s="5" t="s">
        <v>9</v>
      </c>
      <c r="D40" s="7" t="s">
        <v>10</v>
      </c>
      <c r="E40" s="5" t="s">
        <v>11</v>
      </c>
      <c r="F40" s="6" t="s">
        <v>97</v>
      </c>
      <c r="G40" s="6" t="s">
        <v>11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x14ac:dyDescent="0.2">
      <c r="A41" s="5" t="s">
        <v>98</v>
      </c>
      <c r="B41" s="6" t="s">
        <v>94</v>
      </c>
      <c r="C41" s="5" t="s">
        <v>9</v>
      </c>
      <c r="D41" s="7" t="s">
        <v>28</v>
      </c>
      <c r="E41" s="5" t="s">
        <v>11</v>
      </c>
      <c r="F41" s="6" t="s">
        <v>99</v>
      </c>
      <c r="G41" s="6" t="s">
        <v>11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2">
      <c r="A42" s="5" t="s">
        <v>100</v>
      </c>
      <c r="B42" s="6" t="s">
        <v>94</v>
      </c>
      <c r="C42" s="5" t="s">
        <v>9</v>
      </c>
      <c r="D42" s="7" t="s">
        <v>10</v>
      </c>
      <c r="E42" s="5" t="s">
        <v>11</v>
      </c>
      <c r="F42" s="6" t="s">
        <v>101</v>
      </c>
      <c r="G42" s="6" t="s">
        <v>11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2">
      <c r="A43" s="5" t="s">
        <v>102</v>
      </c>
      <c r="B43" s="5" t="s">
        <v>94</v>
      </c>
      <c r="C43" s="8" t="s">
        <v>59</v>
      </c>
      <c r="D43" s="7" t="s">
        <v>10</v>
      </c>
      <c r="E43" s="7" t="s">
        <v>10</v>
      </c>
      <c r="F43" s="5" t="s">
        <v>103</v>
      </c>
      <c r="G43" s="5" t="s">
        <v>104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2">
      <c r="A44" s="6" t="s">
        <v>105</v>
      </c>
      <c r="B44" s="6" t="s">
        <v>94</v>
      </c>
      <c r="C44" s="6" t="s">
        <v>59</v>
      </c>
      <c r="D44" s="11" t="s">
        <v>106</v>
      </c>
      <c r="E44" s="11" t="s">
        <v>106</v>
      </c>
      <c r="F44" s="12" t="s">
        <v>107</v>
      </c>
      <c r="G44" s="12" t="s">
        <v>108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2">
      <c r="A45" s="5" t="s">
        <v>109</v>
      </c>
      <c r="B45" s="5" t="s">
        <v>94</v>
      </c>
      <c r="C45" s="8" t="s">
        <v>59</v>
      </c>
      <c r="D45" s="7" t="s">
        <v>28</v>
      </c>
      <c r="E45" s="7" t="s">
        <v>28</v>
      </c>
      <c r="F45" s="6" t="s">
        <v>110</v>
      </c>
      <c r="G45" s="6" t="s">
        <v>111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2">
      <c r="A46" s="5" t="s">
        <v>112</v>
      </c>
      <c r="B46" s="5" t="s">
        <v>94</v>
      </c>
      <c r="C46" s="8" t="s">
        <v>59</v>
      </c>
      <c r="D46" s="7" t="s">
        <v>10</v>
      </c>
      <c r="E46" s="7" t="s">
        <v>10</v>
      </c>
      <c r="F46" s="6" t="s">
        <v>113</v>
      </c>
      <c r="G46" s="5" t="s">
        <v>114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2">
      <c r="A47" s="5" t="s">
        <v>115</v>
      </c>
      <c r="B47" s="5" t="s">
        <v>94</v>
      </c>
      <c r="C47" s="8" t="s">
        <v>59</v>
      </c>
      <c r="D47" s="7" t="s">
        <v>10</v>
      </c>
      <c r="E47" s="7" t="s">
        <v>10</v>
      </c>
      <c r="F47" s="6" t="s">
        <v>116</v>
      </c>
      <c r="G47" s="6" t="s">
        <v>117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">
      <c r="A48" s="6" t="s">
        <v>118</v>
      </c>
      <c r="B48" s="6" t="s">
        <v>94</v>
      </c>
      <c r="C48" s="8" t="s">
        <v>119</v>
      </c>
      <c r="D48" s="11" t="s">
        <v>28</v>
      </c>
      <c r="E48" s="11" t="s">
        <v>28</v>
      </c>
      <c r="F48" s="6" t="s">
        <v>120</v>
      </c>
      <c r="G48" s="6" t="s">
        <v>34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2">
      <c r="A49" s="6" t="s">
        <v>121</v>
      </c>
      <c r="B49" s="6" t="s">
        <v>94</v>
      </c>
      <c r="C49" s="8" t="s">
        <v>122</v>
      </c>
      <c r="D49" s="7" t="s">
        <v>28</v>
      </c>
      <c r="E49" s="7" t="s">
        <v>28</v>
      </c>
      <c r="F49" s="6" t="s">
        <v>123</v>
      </c>
      <c r="G49" s="6" t="s">
        <v>124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2">
      <c r="A50" s="6" t="s">
        <v>125</v>
      </c>
      <c r="B50" s="6" t="s">
        <v>94</v>
      </c>
      <c r="C50" s="8" t="s">
        <v>122</v>
      </c>
      <c r="D50" s="11" t="s">
        <v>10</v>
      </c>
      <c r="E50" s="11" t="s">
        <v>10</v>
      </c>
      <c r="F50" s="6" t="s">
        <v>126</v>
      </c>
      <c r="G50" s="6" t="s">
        <v>127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2">
      <c r="A51" s="6" t="s">
        <v>128</v>
      </c>
      <c r="B51" s="6" t="s">
        <v>94</v>
      </c>
      <c r="C51" s="8" t="s">
        <v>122</v>
      </c>
      <c r="D51" s="11" t="s">
        <v>10</v>
      </c>
      <c r="E51" s="11" t="s">
        <v>10</v>
      </c>
      <c r="F51" s="6" t="s">
        <v>129</v>
      </c>
      <c r="G51" s="6" t="s">
        <v>124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2">
      <c r="A52" s="6" t="s">
        <v>130</v>
      </c>
      <c r="B52" s="6" t="s">
        <v>94</v>
      </c>
      <c r="C52" s="8" t="s">
        <v>122</v>
      </c>
      <c r="D52" s="11" t="s">
        <v>10</v>
      </c>
      <c r="E52" s="11" t="s">
        <v>10</v>
      </c>
      <c r="F52" s="6" t="s">
        <v>131</v>
      </c>
      <c r="G52" s="6" t="s">
        <v>132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2">
      <c r="A53" s="5" t="s">
        <v>133</v>
      </c>
      <c r="B53" s="6" t="s">
        <v>94</v>
      </c>
      <c r="C53" s="8" t="s">
        <v>122</v>
      </c>
      <c r="D53" s="7" t="s">
        <v>134</v>
      </c>
      <c r="E53" s="7" t="s">
        <v>134</v>
      </c>
      <c r="F53" s="6" t="s">
        <v>46</v>
      </c>
      <c r="G53" s="6" t="s">
        <v>135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2">
      <c r="A54" s="6" t="s">
        <v>136</v>
      </c>
      <c r="B54" s="6" t="s">
        <v>94</v>
      </c>
      <c r="C54" s="8" t="s">
        <v>122</v>
      </c>
      <c r="D54" s="7" t="s">
        <v>106</v>
      </c>
      <c r="E54" s="7" t="s">
        <v>106</v>
      </c>
      <c r="F54" s="6" t="s">
        <v>137</v>
      </c>
      <c r="G54" s="6" t="s">
        <v>138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2">
      <c r="A55" s="5" t="s">
        <v>139</v>
      </c>
      <c r="B55" s="5" t="s">
        <v>94</v>
      </c>
      <c r="C55" s="8" t="s">
        <v>122</v>
      </c>
      <c r="D55" s="7" t="s">
        <v>10</v>
      </c>
      <c r="E55" s="7" t="s">
        <v>10</v>
      </c>
      <c r="F55" s="6" t="s">
        <v>25</v>
      </c>
      <c r="G55" s="6" t="s">
        <v>140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2">
      <c r="A56" s="5" t="s">
        <v>141</v>
      </c>
      <c r="B56" s="5" t="s">
        <v>94</v>
      </c>
      <c r="C56" s="8" t="s">
        <v>122</v>
      </c>
      <c r="D56" s="7" t="s">
        <v>10</v>
      </c>
      <c r="E56" s="7" t="s">
        <v>10</v>
      </c>
      <c r="F56" s="6" t="s">
        <v>142</v>
      </c>
      <c r="G56" s="6" t="s">
        <v>34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1:34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1:34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1:34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1:34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1:34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</sheetData>
  <conditionalFormatting sqref="D50:E51">
    <cfRule type="expression" dxfId="3" priority="2">
      <formula>#REF!&lt;&gt;"11"</formula>
    </cfRule>
  </conditionalFormatting>
  <conditionalFormatting sqref="D53:E56">
    <cfRule type="expression" dxfId="2" priority="3">
      <formula>#REF!&lt;&gt;"11"</formula>
    </cfRule>
  </conditionalFormatting>
  <conditionalFormatting sqref="F30">
    <cfRule type="expression" dxfId="1" priority="4">
      <formula>#REF!&lt;&gt;"11"</formula>
    </cfRule>
  </conditionalFormatting>
  <conditionalFormatting sqref="F35:G35 D40:E42 F47:G49">
    <cfRule type="expression" dxfId="0" priority="1">
      <formula>#REF!&lt;&gt;"11"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AE01-5C18-7B44-A995-7679CF400379}">
  <dimension ref="A1:C10"/>
  <sheetViews>
    <sheetView workbookViewId="0"/>
  </sheetViews>
  <sheetFormatPr baseColWidth="10" defaultRowHeight="16" x14ac:dyDescent="0.2"/>
  <cols>
    <col min="1" max="1" width="14.1640625" customWidth="1"/>
    <col min="2" max="2" width="28" customWidth="1"/>
    <col min="3" max="3" width="24.33203125" customWidth="1"/>
  </cols>
  <sheetData>
    <row r="1" spans="1:3" x14ac:dyDescent="0.2">
      <c r="A1" s="2" t="s">
        <v>179</v>
      </c>
      <c r="B1" s="1"/>
      <c r="C1" s="1"/>
    </row>
    <row r="2" spans="1:3" x14ac:dyDescent="0.2">
      <c r="A2" s="15"/>
      <c r="B2" s="15"/>
      <c r="C2" s="15"/>
    </row>
    <row r="3" spans="1:3" x14ac:dyDescent="0.2">
      <c r="A3" s="15"/>
      <c r="B3" s="15"/>
      <c r="C3" s="15"/>
    </row>
    <row r="4" spans="1:3" x14ac:dyDescent="0.2">
      <c r="A4" s="22" t="s">
        <v>2</v>
      </c>
      <c r="B4" s="22" t="s">
        <v>187</v>
      </c>
      <c r="C4" s="22" t="s">
        <v>188</v>
      </c>
    </row>
    <row r="5" spans="1:3" x14ac:dyDescent="0.2">
      <c r="A5" s="22" t="s">
        <v>59</v>
      </c>
      <c r="B5" s="23">
        <v>1.4123809523809501</v>
      </c>
      <c r="C5" s="23">
        <v>1.8357601678126701E-3</v>
      </c>
    </row>
    <row r="6" spans="1:3" x14ac:dyDescent="0.2">
      <c r="A6" s="22" t="s">
        <v>119</v>
      </c>
      <c r="B6" s="23">
        <v>1.1599999999999999</v>
      </c>
      <c r="C6" s="23">
        <v>-1.0119460327048699E-2</v>
      </c>
    </row>
    <row r="7" spans="1:3" ht="18" customHeight="1" x14ac:dyDescent="0.2">
      <c r="A7" s="22" t="s">
        <v>122</v>
      </c>
      <c r="B7" s="23">
        <v>1.7424999999999999</v>
      </c>
      <c r="C7" s="23">
        <v>3.3005999348620897E-2</v>
      </c>
    </row>
    <row r="8" spans="1:3" x14ac:dyDescent="0.2">
      <c r="A8" s="22" t="s">
        <v>9</v>
      </c>
      <c r="B8" s="23">
        <v>1.73818181818182</v>
      </c>
      <c r="C8" s="23">
        <v>2.4758762515516501E-2</v>
      </c>
    </row>
    <row r="9" spans="1:3" x14ac:dyDescent="0.2">
      <c r="A9" s="22" t="s">
        <v>31</v>
      </c>
      <c r="B9" s="23">
        <v>1.105</v>
      </c>
      <c r="C9" s="23">
        <v>-5.4226558985905502E-3</v>
      </c>
    </row>
    <row r="10" spans="1:3" x14ac:dyDescent="0.2">
      <c r="A10" s="22" t="s">
        <v>51</v>
      </c>
      <c r="B10" s="23">
        <v>1.2533333333333301</v>
      </c>
      <c r="C10" s="23">
        <v>1.9763886733571899E-2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9869-C2D2-8B4D-9582-6417694F1F34}">
  <dimension ref="A1:D8"/>
  <sheetViews>
    <sheetView workbookViewId="0"/>
  </sheetViews>
  <sheetFormatPr baseColWidth="10" defaultRowHeight="16" x14ac:dyDescent="0.2"/>
  <cols>
    <col min="1" max="1" width="13.5" customWidth="1"/>
    <col min="2" max="2" width="24.83203125" customWidth="1"/>
    <col min="3" max="3" width="21.5" customWidth="1"/>
  </cols>
  <sheetData>
    <row r="1" spans="1:4" x14ac:dyDescent="0.2">
      <c r="A1" s="2" t="s">
        <v>180</v>
      </c>
      <c r="B1" s="15"/>
      <c r="C1" s="15"/>
      <c r="D1" s="15"/>
    </row>
    <row r="2" spans="1:4" x14ac:dyDescent="0.2">
      <c r="A2" s="15"/>
      <c r="B2" s="15"/>
      <c r="C2" s="15"/>
      <c r="D2" s="15"/>
    </row>
    <row r="3" spans="1:4" x14ac:dyDescent="0.2">
      <c r="A3" s="15"/>
      <c r="B3" s="15"/>
      <c r="C3" s="15"/>
      <c r="D3" s="15"/>
    </row>
    <row r="4" spans="1:4" x14ac:dyDescent="0.2">
      <c r="A4" s="22" t="s">
        <v>1</v>
      </c>
      <c r="B4" s="22" t="s">
        <v>187</v>
      </c>
      <c r="C4" s="22" t="s">
        <v>188</v>
      </c>
      <c r="D4" s="15"/>
    </row>
    <row r="5" spans="1:4" x14ac:dyDescent="0.2">
      <c r="A5" s="22" t="s">
        <v>94</v>
      </c>
      <c r="B5" s="23">
        <v>1.56</v>
      </c>
      <c r="C5" s="23">
        <v>2.2283424958614399E-2</v>
      </c>
      <c r="D5" s="15"/>
    </row>
    <row r="6" spans="1:4" x14ac:dyDescent="0.2">
      <c r="A6" s="22" t="s">
        <v>8</v>
      </c>
      <c r="B6" s="23">
        <v>1.4081250000000001</v>
      </c>
      <c r="C6" s="23">
        <v>4.4465550927630998E-3</v>
      </c>
      <c r="D6" s="15"/>
    </row>
    <row r="7" spans="1:4" x14ac:dyDescent="0.2">
      <c r="A7" s="22" t="s">
        <v>27</v>
      </c>
      <c r="B7" s="23">
        <v>1.34</v>
      </c>
      <c r="C7" s="23">
        <v>5.2220810594690498E-2</v>
      </c>
      <c r="D7" s="15"/>
    </row>
    <row r="8" spans="1:4" x14ac:dyDescent="0.2">
      <c r="A8" s="22" t="s">
        <v>86</v>
      </c>
      <c r="B8" s="23">
        <v>2</v>
      </c>
      <c r="C8" s="23">
        <v>-1.4875924149510901E-2</v>
      </c>
      <c r="D8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095D-EE4A-F64D-A4CD-592D4EDF1DB1}">
  <dimension ref="A1:F56"/>
  <sheetViews>
    <sheetView workbookViewId="0"/>
  </sheetViews>
  <sheetFormatPr baseColWidth="10" defaultRowHeight="16" x14ac:dyDescent="0.2"/>
  <sheetData>
    <row r="1" spans="1:6" x14ac:dyDescent="0.2">
      <c r="A1" s="2" t="s">
        <v>190</v>
      </c>
    </row>
    <row r="4" spans="1:6" x14ac:dyDescent="0.2">
      <c r="A4" s="22" t="s">
        <v>0</v>
      </c>
      <c r="B4" s="22" t="s">
        <v>1</v>
      </c>
      <c r="C4" s="22" t="s">
        <v>2</v>
      </c>
      <c r="D4" s="22" t="s">
        <v>189</v>
      </c>
      <c r="E4" s="22" t="s">
        <v>187</v>
      </c>
      <c r="F4" s="22" t="s">
        <v>188</v>
      </c>
    </row>
    <row r="5" spans="1:6" x14ac:dyDescent="0.2">
      <c r="A5" s="22" t="s">
        <v>7</v>
      </c>
      <c r="B5" s="23" t="s">
        <v>8</v>
      </c>
      <c r="C5" s="23" t="s">
        <v>9</v>
      </c>
      <c r="D5" s="23">
        <v>2.2958904109588998</v>
      </c>
      <c r="E5" s="23">
        <v>1.8</v>
      </c>
      <c r="F5" s="23">
        <v>9.3937960733012898E-3</v>
      </c>
    </row>
    <row r="6" spans="1:6" x14ac:dyDescent="0.2">
      <c r="A6" s="22" t="s">
        <v>13</v>
      </c>
      <c r="B6" s="23" t="s">
        <v>8</v>
      </c>
      <c r="C6" s="23" t="s">
        <v>9</v>
      </c>
      <c r="D6" s="23">
        <v>2.2958904109588998</v>
      </c>
      <c r="E6" s="23">
        <v>2.08</v>
      </c>
      <c r="F6" s="23">
        <v>-2.47729943559022E-2</v>
      </c>
    </row>
    <row r="7" spans="1:6" x14ac:dyDescent="0.2">
      <c r="A7" s="22" t="s">
        <v>16</v>
      </c>
      <c r="B7" s="23" t="s">
        <v>8</v>
      </c>
      <c r="C7" s="23" t="s">
        <v>9</v>
      </c>
      <c r="D7" s="23">
        <v>2.2958904109588998</v>
      </c>
      <c r="E7" s="23">
        <v>2.6</v>
      </c>
      <c r="F7" s="23">
        <v>2.10003024154394E-2</v>
      </c>
    </row>
    <row r="8" spans="1:6" x14ac:dyDescent="0.2">
      <c r="A8" s="22" t="s">
        <v>19</v>
      </c>
      <c r="B8" s="23" t="s">
        <v>8</v>
      </c>
      <c r="C8" s="23" t="s">
        <v>9</v>
      </c>
      <c r="D8" s="23">
        <v>2.2958904109588998</v>
      </c>
      <c r="E8" s="23">
        <v>1.9</v>
      </c>
      <c r="F8" s="23">
        <v>4.4837594963175902E-2</v>
      </c>
    </row>
    <row r="9" spans="1:6" x14ac:dyDescent="0.2">
      <c r="A9" s="22" t="s">
        <v>22</v>
      </c>
      <c r="B9" s="23" t="s">
        <v>8</v>
      </c>
      <c r="C9" s="23" t="s">
        <v>9</v>
      </c>
      <c r="D9" s="23">
        <v>2.2958904109588998</v>
      </c>
      <c r="E9" s="23">
        <v>1.32</v>
      </c>
      <c r="F9" s="23">
        <v>-8.8352900497135501E-3</v>
      </c>
    </row>
    <row r="10" spans="1:6" x14ac:dyDescent="0.2">
      <c r="A10" s="22" t="s">
        <v>24</v>
      </c>
      <c r="B10" s="23" t="s">
        <v>8</v>
      </c>
      <c r="C10" s="23" t="s">
        <v>9</v>
      </c>
      <c r="D10" s="23">
        <v>2.2958904109588998</v>
      </c>
      <c r="E10" s="23">
        <v>1.52</v>
      </c>
      <c r="F10" s="23">
        <v>4.4501559891769502E-2</v>
      </c>
    </row>
    <row r="11" spans="1:6" x14ac:dyDescent="0.2">
      <c r="A11" s="22" t="s">
        <v>26</v>
      </c>
      <c r="B11" s="23" t="s">
        <v>27</v>
      </c>
      <c r="C11" s="23" t="s">
        <v>9</v>
      </c>
      <c r="D11" s="23">
        <v>2.2958904109588998</v>
      </c>
      <c r="E11" s="23">
        <v>1.34</v>
      </c>
      <c r="F11" s="23">
        <v>5.2220810594690498E-2</v>
      </c>
    </row>
    <row r="12" spans="1:6" x14ac:dyDescent="0.2">
      <c r="A12" s="22" t="s">
        <v>30</v>
      </c>
      <c r="B12" s="23" t="s">
        <v>8</v>
      </c>
      <c r="C12" s="23" t="s">
        <v>31</v>
      </c>
      <c r="D12" s="23">
        <v>0.57397260273972595</v>
      </c>
      <c r="E12" s="23">
        <v>1.2</v>
      </c>
      <c r="F12" s="23">
        <v>6.0598977363867301E-3</v>
      </c>
    </row>
    <row r="13" spans="1:6" x14ac:dyDescent="0.2">
      <c r="A13" s="22" t="s">
        <v>35</v>
      </c>
      <c r="B13" s="23" t="s">
        <v>8</v>
      </c>
      <c r="C13" s="23" t="s">
        <v>31</v>
      </c>
      <c r="D13" s="23">
        <v>0.57397260273972595</v>
      </c>
      <c r="E13" s="23">
        <v>1.22</v>
      </c>
      <c r="F13" s="23">
        <v>-3.4876157011534001E-2</v>
      </c>
    </row>
    <row r="14" spans="1:6" x14ac:dyDescent="0.2">
      <c r="A14" s="22" t="s">
        <v>37</v>
      </c>
      <c r="B14" s="23" t="s">
        <v>8</v>
      </c>
      <c r="C14" s="23" t="s">
        <v>31</v>
      </c>
      <c r="D14" s="23">
        <v>0.57397260273972595</v>
      </c>
      <c r="E14" s="23">
        <v>0.88</v>
      </c>
      <c r="F14" s="23">
        <v>-3.9416797784130798E-2</v>
      </c>
    </row>
    <row r="15" spans="1:6" x14ac:dyDescent="0.2">
      <c r="A15" s="22" t="s">
        <v>39</v>
      </c>
      <c r="B15" s="23" t="s">
        <v>8</v>
      </c>
      <c r="C15" s="23" t="s">
        <v>31</v>
      </c>
      <c r="D15" s="23">
        <v>0.57397260273972595</v>
      </c>
      <c r="E15" s="23">
        <v>0.98</v>
      </c>
      <c r="F15" s="23">
        <v>5.43437865643581E-2</v>
      </c>
    </row>
    <row r="16" spans="1:6" x14ac:dyDescent="0.2">
      <c r="A16" s="22" t="s">
        <v>41</v>
      </c>
      <c r="B16" s="23" t="s">
        <v>8</v>
      </c>
      <c r="C16" s="23" t="s">
        <v>31</v>
      </c>
      <c r="D16" s="23">
        <v>0.57397260273972595</v>
      </c>
      <c r="E16" s="23">
        <v>1.28</v>
      </c>
      <c r="F16" s="23">
        <v>-6.4687344787102599E-2</v>
      </c>
    </row>
    <row r="17" spans="1:6" x14ac:dyDescent="0.2">
      <c r="A17" s="22" t="s">
        <v>42</v>
      </c>
      <c r="B17" s="23" t="s">
        <v>8</v>
      </c>
      <c r="C17" s="23" t="s">
        <v>31</v>
      </c>
      <c r="D17" s="23">
        <v>0.57397260273972595</v>
      </c>
      <c r="E17" s="23">
        <v>1.06</v>
      </c>
      <c r="F17" s="23">
        <v>-1.9920534025988298E-3</v>
      </c>
    </row>
    <row r="18" spans="1:6" x14ac:dyDescent="0.2">
      <c r="A18" s="22" t="s">
        <v>45</v>
      </c>
      <c r="B18" s="23" t="s">
        <v>8</v>
      </c>
      <c r="C18" s="23" t="s">
        <v>31</v>
      </c>
      <c r="D18" s="23">
        <v>0.57397260273972595</v>
      </c>
      <c r="E18" s="23">
        <v>1.06</v>
      </c>
      <c r="F18" s="23">
        <v>2.3733545910460799E-2</v>
      </c>
    </row>
    <row r="19" spans="1:6" x14ac:dyDescent="0.2">
      <c r="A19" s="22" t="s">
        <v>48</v>
      </c>
      <c r="B19" s="23" t="s">
        <v>8</v>
      </c>
      <c r="C19" s="23" t="s">
        <v>31</v>
      </c>
      <c r="D19" s="23">
        <v>0.57397260273972595</v>
      </c>
      <c r="E19" s="23">
        <v>1.1599999999999999</v>
      </c>
      <c r="F19" s="23">
        <v>1.34538755854362E-2</v>
      </c>
    </row>
    <row r="20" spans="1:6" x14ac:dyDescent="0.2">
      <c r="A20" s="22" t="s">
        <v>50</v>
      </c>
      <c r="B20" s="23" t="s">
        <v>8</v>
      </c>
      <c r="C20" s="23" t="s">
        <v>51</v>
      </c>
      <c r="D20" s="23">
        <v>0.57397260273972595</v>
      </c>
      <c r="E20" s="23">
        <v>1.26</v>
      </c>
      <c r="F20" s="23">
        <v>8.8500895818474697E-3</v>
      </c>
    </row>
    <row r="21" spans="1:6" x14ac:dyDescent="0.2">
      <c r="A21" s="22" t="s">
        <v>54</v>
      </c>
      <c r="B21" s="23" t="s">
        <v>8</v>
      </c>
      <c r="C21" s="23" t="s">
        <v>51</v>
      </c>
      <c r="D21" s="23">
        <v>0.57397260273972595</v>
      </c>
      <c r="E21" s="23">
        <v>1.3</v>
      </c>
      <c r="F21" s="23">
        <v>4.6655341389323902E-2</v>
      </c>
    </row>
    <row r="22" spans="1:6" x14ac:dyDescent="0.2">
      <c r="A22" s="22" t="s">
        <v>56</v>
      </c>
      <c r="B22" s="23" t="s">
        <v>8</v>
      </c>
      <c r="C22" s="23" t="s">
        <v>51</v>
      </c>
      <c r="D22" s="23">
        <v>0.57397260273972595</v>
      </c>
      <c r="E22" s="23">
        <v>1.2</v>
      </c>
      <c r="F22" s="23">
        <v>3.7862292295442099E-3</v>
      </c>
    </row>
    <row r="23" spans="1:6" x14ac:dyDescent="0.2">
      <c r="A23" s="22" t="s">
        <v>58</v>
      </c>
      <c r="B23" s="23" t="s">
        <v>8</v>
      </c>
      <c r="C23" s="23" t="s">
        <v>59</v>
      </c>
      <c r="D23" s="23">
        <v>1.1479452054794499</v>
      </c>
      <c r="E23" s="23">
        <v>1.48</v>
      </c>
      <c r="F23" s="23">
        <v>2.1596906487146902E-2</v>
      </c>
    </row>
    <row r="24" spans="1:6" x14ac:dyDescent="0.2">
      <c r="A24" s="22" t="s">
        <v>61</v>
      </c>
      <c r="B24" s="23" t="s">
        <v>8</v>
      </c>
      <c r="C24" s="23" t="s">
        <v>59</v>
      </c>
      <c r="D24" s="23">
        <v>1.1479452054794499</v>
      </c>
      <c r="E24" s="23">
        <v>1.26</v>
      </c>
      <c r="F24" s="23">
        <v>-1.8246435678015701E-2</v>
      </c>
    </row>
    <row r="25" spans="1:6" x14ac:dyDescent="0.2">
      <c r="A25" s="22" t="s">
        <v>63</v>
      </c>
      <c r="B25" s="23" t="s">
        <v>8</v>
      </c>
      <c r="C25" s="23" t="s">
        <v>59</v>
      </c>
      <c r="D25" s="23">
        <v>1.1479452054794499</v>
      </c>
      <c r="E25" s="23">
        <v>1.48</v>
      </c>
      <c r="F25" s="23">
        <v>-3.0226447667027301E-2</v>
      </c>
    </row>
    <row r="26" spans="1:6" x14ac:dyDescent="0.2">
      <c r="A26" s="22" t="s">
        <v>65</v>
      </c>
      <c r="B26" s="23" t="s">
        <v>8</v>
      </c>
      <c r="C26" s="23" t="s">
        <v>59</v>
      </c>
      <c r="D26" s="23">
        <v>1.1479452054794499</v>
      </c>
      <c r="E26" s="23">
        <v>1.6</v>
      </c>
      <c r="F26" s="23">
        <v>-5.2026086293448397E-2</v>
      </c>
    </row>
    <row r="27" spans="1:6" x14ac:dyDescent="0.2">
      <c r="A27" s="22" t="s">
        <v>66</v>
      </c>
      <c r="B27" s="23" t="s">
        <v>8</v>
      </c>
      <c r="C27" s="23" t="s">
        <v>59</v>
      </c>
      <c r="D27" s="23">
        <v>1.1479452054794499</v>
      </c>
      <c r="E27" s="23">
        <v>1.1200000000000001</v>
      </c>
      <c r="F27" s="23">
        <v>3.1833896213648197E-2</v>
      </c>
    </row>
    <row r="28" spans="1:6" x14ac:dyDescent="0.2">
      <c r="A28" s="22" t="s">
        <v>68</v>
      </c>
      <c r="B28" s="23" t="s">
        <v>8</v>
      </c>
      <c r="C28" s="23" t="s">
        <v>59</v>
      </c>
      <c r="D28" s="23">
        <v>1.1479452054794499</v>
      </c>
      <c r="E28" s="23">
        <v>1.2</v>
      </c>
      <c r="F28" s="23">
        <v>-2.9398820407327601E-2</v>
      </c>
    </row>
    <row r="29" spans="1:6" x14ac:dyDescent="0.2">
      <c r="A29" s="22" t="s">
        <v>69</v>
      </c>
      <c r="B29" s="23" t="s">
        <v>8</v>
      </c>
      <c r="C29" s="23" t="s">
        <v>59</v>
      </c>
      <c r="D29" s="23">
        <v>1.1479452054794499</v>
      </c>
      <c r="E29" s="23">
        <v>1.4</v>
      </c>
      <c r="F29" s="23">
        <v>2.7767692837904201E-2</v>
      </c>
    </row>
    <row r="30" spans="1:6" x14ac:dyDescent="0.2">
      <c r="A30" s="22" t="s">
        <v>71</v>
      </c>
      <c r="B30" s="23" t="s">
        <v>8</v>
      </c>
      <c r="C30" s="23" t="s">
        <v>59</v>
      </c>
      <c r="D30" s="23">
        <v>1.1479452054794499</v>
      </c>
      <c r="E30" s="23">
        <v>1.46</v>
      </c>
      <c r="F30" s="23">
        <v>8.3963302039679506E-3</v>
      </c>
    </row>
    <row r="31" spans="1:6" x14ac:dyDescent="0.2">
      <c r="A31" s="22" t="s">
        <v>73</v>
      </c>
      <c r="B31" s="23" t="s">
        <v>8</v>
      </c>
      <c r="C31" s="23" t="s">
        <v>59</v>
      </c>
      <c r="D31" s="23">
        <v>1.1479452054794499</v>
      </c>
      <c r="E31" s="23">
        <v>1.74</v>
      </c>
      <c r="F31" s="23">
        <v>7.4587114929136403E-2</v>
      </c>
    </row>
    <row r="32" spans="1:6" x14ac:dyDescent="0.2">
      <c r="A32" s="22" t="s">
        <v>76</v>
      </c>
      <c r="B32" s="23" t="s">
        <v>8</v>
      </c>
      <c r="C32" s="23" t="s">
        <v>59</v>
      </c>
      <c r="D32" s="23">
        <v>1.1479452054794499</v>
      </c>
      <c r="E32" s="23">
        <v>1.7</v>
      </c>
      <c r="F32" s="23">
        <v>5.8002895899288497E-2</v>
      </c>
    </row>
    <row r="33" spans="1:6" x14ac:dyDescent="0.2">
      <c r="A33" s="22" t="s">
        <v>78</v>
      </c>
      <c r="B33" s="23" t="s">
        <v>8</v>
      </c>
      <c r="C33" s="23" t="s">
        <v>59</v>
      </c>
      <c r="D33" s="23">
        <v>1.1479452054794499</v>
      </c>
      <c r="E33" s="23">
        <v>1.46</v>
      </c>
      <c r="F33" s="23">
        <v>-5.1637218455497201E-2</v>
      </c>
    </row>
    <row r="34" spans="1:6" x14ac:dyDescent="0.2">
      <c r="A34" s="22" t="s">
        <v>82</v>
      </c>
      <c r="B34" s="23" t="s">
        <v>8</v>
      </c>
      <c r="C34" s="23" t="s">
        <v>59</v>
      </c>
      <c r="D34" s="23">
        <v>1.1479452054794499</v>
      </c>
      <c r="E34" s="23">
        <v>1.3</v>
      </c>
      <c r="F34" s="23">
        <v>-5.4037907388402202E-3</v>
      </c>
    </row>
    <row r="35" spans="1:6" x14ac:dyDescent="0.2">
      <c r="A35" s="22" t="s">
        <v>85</v>
      </c>
      <c r="B35" s="23" t="s">
        <v>86</v>
      </c>
      <c r="C35" s="23" t="s">
        <v>59</v>
      </c>
      <c r="D35" s="23">
        <v>1.1479452054794499</v>
      </c>
      <c r="E35" s="23">
        <v>2</v>
      </c>
      <c r="F35" s="23">
        <v>-1.4875924149510901E-2</v>
      </c>
    </row>
    <row r="36" spans="1:6" x14ac:dyDescent="0.2">
      <c r="A36" s="22" t="s">
        <v>88</v>
      </c>
      <c r="B36" s="23" t="s">
        <v>8</v>
      </c>
      <c r="C36" s="23" t="s">
        <v>59</v>
      </c>
      <c r="D36" s="23">
        <v>1.1479452054794499</v>
      </c>
      <c r="E36" s="23">
        <v>1.26</v>
      </c>
      <c r="F36" s="23">
        <v>3.85454285916077E-2</v>
      </c>
    </row>
    <row r="37" spans="1:6" x14ac:dyDescent="0.2">
      <c r="A37" s="22" t="s">
        <v>90</v>
      </c>
      <c r="B37" s="23" t="s">
        <v>8</v>
      </c>
      <c r="C37" s="23" t="s">
        <v>59</v>
      </c>
      <c r="D37" s="23">
        <v>1.1479452054794499</v>
      </c>
      <c r="E37" s="23">
        <v>1.32</v>
      </c>
      <c r="F37" s="23">
        <v>-4.03622982215446E-2</v>
      </c>
    </row>
    <row r="38" spans="1:6" x14ac:dyDescent="0.2">
      <c r="A38" s="22" t="s">
        <v>91</v>
      </c>
      <c r="B38" s="23" t="s">
        <v>8</v>
      </c>
      <c r="C38" s="23" t="s">
        <v>59</v>
      </c>
      <c r="D38" s="23">
        <v>1.1479452054794499</v>
      </c>
      <c r="E38" s="23">
        <v>1.46</v>
      </c>
      <c r="F38" s="23">
        <v>6.8252133173588702E-3</v>
      </c>
    </row>
    <row r="39" spans="1:6" x14ac:dyDescent="0.2">
      <c r="A39" s="22" t="s">
        <v>93</v>
      </c>
      <c r="B39" s="23" t="s">
        <v>94</v>
      </c>
      <c r="C39" s="23" t="s">
        <v>9</v>
      </c>
      <c r="D39" s="23">
        <v>1.5835616438356199</v>
      </c>
      <c r="E39" s="23">
        <v>1.66</v>
      </c>
      <c r="F39" s="23">
        <v>-3.5927734516211299E-2</v>
      </c>
    </row>
    <row r="40" spans="1:6" x14ac:dyDescent="0.2">
      <c r="A40" s="22" t="s">
        <v>96</v>
      </c>
      <c r="B40" s="23" t="s">
        <v>94</v>
      </c>
      <c r="C40" s="23" t="s">
        <v>9</v>
      </c>
      <c r="D40" s="23">
        <v>1.5835616438356199</v>
      </c>
      <c r="E40" s="23">
        <v>1.72</v>
      </c>
      <c r="F40" s="23">
        <v>7.6911197292149902E-2</v>
      </c>
    </row>
    <row r="41" spans="1:6" x14ac:dyDescent="0.2">
      <c r="A41" s="22" t="s">
        <v>98</v>
      </c>
      <c r="B41" s="23" t="s">
        <v>94</v>
      </c>
      <c r="C41" s="23" t="s">
        <v>9</v>
      </c>
      <c r="D41" s="23">
        <v>1.5835616438356199</v>
      </c>
      <c r="E41" s="23">
        <v>1.48</v>
      </c>
      <c r="F41" s="23">
        <v>3.9081536546055902E-2</v>
      </c>
    </row>
    <row r="42" spans="1:6" x14ac:dyDescent="0.2">
      <c r="A42" s="22" t="s">
        <v>100</v>
      </c>
      <c r="B42" s="23" t="s">
        <v>94</v>
      </c>
      <c r="C42" s="23" t="s">
        <v>9</v>
      </c>
      <c r="D42" s="23">
        <v>1.5835616438356199</v>
      </c>
      <c r="E42" s="23">
        <v>1.7</v>
      </c>
      <c r="F42" s="23">
        <v>5.3935608815926697E-2</v>
      </c>
    </row>
    <row r="43" spans="1:6" x14ac:dyDescent="0.2">
      <c r="A43" s="22" t="s">
        <v>102</v>
      </c>
      <c r="B43" s="23" t="s">
        <v>94</v>
      </c>
      <c r="C43" s="23" t="s">
        <v>59</v>
      </c>
      <c r="D43" s="23">
        <v>0.79178082191780796</v>
      </c>
      <c r="E43" s="23">
        <v>1.38</v>
      </c>
      <c r="F43" s="23">
        <v>-1.8613593624464699E-3</v>
      </c>
    </row>
    <row r="44" spans="1:6" x14ac:dyDescent="0.2">
      <c r="A44" s="22" t="s">
        <v>105</v>
      </c>
      <c r="B44" s="23" t="s">
        <v>94</v>
      </c>
      <c r="C44" s="23" t="s">
        <v>59</v>
      </c>
      <c r="D44" s="23">
        <v>0.79178082191780796</v>
      </c>
      <c r="E44" s="23">
        <v>1.44</v>
      </c>
      <c r="F44" s="23">
        <v>-3.1053078688961601E-2</v>
      </c>
    </row>
    <row r="45" spans="1:6" x14ac:dyDescent="0.2">
      <c r="A45" s="22" t="s">
        <v>109</v>
      </c>
      <c r="B45" s="23" t="s">
        <v>94</v>
      </c>
      <c r="C45" s="23" t="s">
        <v>59</v>
      </c>
      <c r="D45" s="23">
        <v>0.79178082191780796</v>
      </c>
      <c r="E45" s="23">
        <v>1.32</v>
      </c>
      <c r="F45" s="23">
        <v>-1.7297749692327401E-2</v>
      </c>
    </row>
    <row r="46" spans="1:6" x14ac:dyDescent="0.2">
      <c r="A46" s="22" t="s">
        <v>112</v>
      </c>
      <c r="B46" s="23" t="s">
        <v>94</v>
      </c>
      <c r="C46" s="23" t="s">
        <v>59</v>
      </c>
      <c r="D46" s="23">
        <v>0.79178082191780796</v>
      </c>
      <c r="E46" s="23">
        <v>1.26</v>
      </c>
      <c r="F46" s="23">
        <v>3.9464046803931598E-2</v>
      </c>
    </row>
    <row r="47" spans="1:6" x14ac:dyDescent="0.2">
      <c r="A47" s="22" t="s">
        <v>115</v>
      </c>
      <c r="B47" s="23" t="s">
        <v>94</v>
      </c>
      <c r="C47" s="23" t="s">
        <v>59</v>
      </c>
      <c r="D47" s="23">
        <v>0.79178082191780796</v>
      </c>
      <c r="E47" s="23">
        <v>1.02</v>
      </c>
      <c r="F47" s="23">
        <v>2.3920647595023201E-2</v>
      </c>
    </row>
    <row r="48" spans="1:6" x14ac:dyDescent="0.2">
      <c r="A48" s="22" t="s">
        <v>118</v>
      </c>
      <c r="B48" s="23" t="s">
        <v>94</v>
      </c>
      <c r="C48" s="23" t="s">
        <v>119</v>
      </c>
      <c r="D48" s="23">
        <v>0.79178082191780796</v>
      </c>
      <c r="E48" s="23">
        <v>1.1599999999999999</v>
      </c>
      <c r="F48" s="23">
        <v>-1.0119460327048699E-2</v>
      </c>
    </row>
    <row r="49" spans="1:6" x14ac:dyDescent="0.2">
      <c r="A49" s="22" t="s">
        <v>121</v>
      </c>
      <c r="B49" s="23" t="s">
        <v>94</v>
      </c>
      <c r="C49" s="23" t="s">
        <v>122</v>
      </c>
      <c r="D49" s="23">
        <v>1.5835616438356199</v>
      </c>
      <c r="E49" s="23">
        <v>1.76</v>
      </c>
      <c r="F49" s="23">
        <v>4.2294203657293097E-2</v>
      </c>
    </row>
    <row r="50" spans="1:6" x14ac:dyDescent="0.2">
      <c r="A50" s="22" t="s">
        <v>125</v>
      </c>
      <c r="B50" s="23" t="s">
        <v>94</v>
      </c>
      <c r="C50" s="23" t="s">
        <v>122</v>
      </c>
      <c r="D50" s="23">
        <v>1.5835616438356199</v>
      </c>
      <c r="E50" s="23">
        <v>1.54</v>
      </c>
      <c r="F50" s="23">
        <v>5.1141510957177998E-2</v>
      </c>
    </row>
    <row r="51" spans="1:6" x14ac:dyDescent="0.2">
      <c r="A51" s="22" t="s">
        <v>128</v>
      </c>
      <c r="B51" s="23" t="s">
        <v>94</v>
      </c>
      <c r="C51" s="23" t="s">
        <v>122</v>
      </c>
      <c r="D51" s="23">
        <v>1.5835616438356199</v>
      </c>
      <c r="E51" s="23">
        <v>2.1</v>
      </c>
      <c r="F51" s="23">
        <v>6.5416187171241898E-3</v>
      </c>
    </row>
    <row r="52" spans="1:6" x14ac:dyDescent="0.2">
      <c r="A52" s="22" t="s">
        <v>130</v>
      </c>
      <c r="B52" s="23" t="s">
        <v>94</v>
      </c>
      <c r="C52" s="23" t="s">
        <v>122</v>
      </c>
      <c r="D52" s="23">
        <v>1.5835616438356199</v>
      </c>
      <c r="E52" s="23">
        <v>2</v>
      </c>
      <c r="F52" s="23">
        <v>6.6131769195799203E-2</v>
      </c>
    </row>
    <row r="53" spans="1:6" x14ac:dyDescent="0.2">
      <c r="A53" s="22" t="s">
        <v>133</v>
      </c>
      <c r="B53" s="23" t="s">
        <v>94</v>
      </c>
      <c r="C53" s="23" t="s">
        <v>122</v>
      </c>
      <c r="D53" s="23">
        <v>1.5835616438356199</v>
      </c>
      <c r="E53" s="23">
        <v>2.14</v>
      </c>
      <c r="F53" s="23">
        <v>5.3701345885223697E-2</v>
      </c>
    </row>
    <row r="54" spans="1:6" x14ac:dyDescent="0.2">
      <c r="A54" s="22" t="s">
        <v>136</v>
      </c>
      <c r="B54" s="23" t="s">
        <v>94</v>
      </c>
      <c r="C54" s="23" t="s">
        <v>122</v>
      </c>
      <c r="D54" s="23">
        <v>1.5835616438356199</v>
      </c>
      <c r="E54" s="23">
        <v>1.44</v>
      </c>
      <c r="F54" s="23">
        <v>-4.4627986130507703E-2</v>
      </c>
    </row>
    <row r="55" spans="1:6" x14ac:dyDescent="0.2">
      <c r="A55" s="22" t="s">
        <v>139</v>
      </c>
      <c r="B55" s="23" t="s">
        <v>94</v>
      </c>
      <c r="C55" s="23" t="s">
        <v>122</v>
      </c>
      <c r="D55" s="23">
        <v>1.5835616438356199</v>
      </c>
      <c r="E55" s="23">
        <v>1.58</v>
      </c>
      <c r="F55" s="23">
        <v>4.5227406708173302E-2</v>
      </c>
    </row>
    <row r="56" spans="1:6" x14ac:dyDescent="0.2">
      <c r="A56" s="22" t="s">
        <v>141</v>
      </c>
      <c r="B56" s="23" t="s">
        <v>94</v>
      </c>
      <c r="C56" s="23" t="s">
        <v>122</v>
      </c>
      <c r="D56" s="23">
        <v>1.5835616438356199</v>
      </c>
      <c r="E56" s="23">
        <v>1.38</v>
      </c>
      <c r="F56" s="23">
        <v>4.3638125798683501E-2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BE25-CADD-714D-9562-4A7483A97057}">
  <dimension ref="A1:C8"/>
  <sheetViews>
    <sheetView workbookViewId="0"/>
  </sheetViews>
  <sheetFormatPr baseColWidth="10" defaultRowHeight="16" x14ac:dyDescent="0.2"/>
  <cols>
    <col min="1" max="1" width="18" customWidth="1"/>
    <col min="2" max="2" width="51.1640625" customWidth="1"/>
  </cols>
  <sheetData>
    <row r="1" spans="1:3" x14ac:dyDescent="0.2">
      <c r="A1" s="2" t="s">
        <v>191</v>
      </c>
    </row>
    <row r="3" spans="1:3" x14ac:dyDescent="0.2">
      <c r="A3" s="20" t="s">
        <v>167</v>
      </c>
      <c r="B3" s="20" t="s">
        <v>168</v>
      </c>
    </row>
    <row r="4" spans="1:3" x14ac:dyDescent="0.2">
      <c r="A4" s="20" t="s">
        <v>1</v>
      </c>
      <c r="B4" s="20" t="s">
        <v>169</v>
      </c>
      <c r="C4" s="14"/>
    </row>
    <row r="5" spans="1:3" x14ac:dyDescent="0.2">
      <c r="A5" s="20" t="s">
        <v>170</v>
      </c>
      <c r="B5" s="20" t="s">
        <v>171</v>
      </c>
    </row>
    <row r="6" spans="1:3" x14ac:dyDescent="0.2">
      <c r="A6" s="20" t="s">
        <v>172</v>
      </c>
      <c r="B6" s="20" t="s">
        <v>173</v>
      </c>
    </row>
    <row r="7" spans="1:3" x14ac:dyDescent="0.2">
      <c r="A7" s="20" t="s">
        <v>174</v>
      </c>
      <c r="B7" s="20" t="s">
        <v>175</v>
      </c>
    </row>
    <row r="8" spans="1:3" x14ac:dyDescent="0.2">
      <c r="A8" s="20" t="s">
        <v>176</v>
      </c>
      <c r="B8" s="20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F338-3B84-6747-84F7-A776BDB771A3}">
  <dimension ref="A1:G56"/>
  <sheetViews>
    <sheetView workbookViewId="0"/>
  </sheetViews>
  <sheetFormatPr baseColWidth="10" defaultRowHeight="16" x14ac:dyDescent="0.2"/>
  <cols>
    <col min="7" max="7" width="16.1640625" customWidth="1"/>
  </cols>
  <sheetData>
    <row r="1" spans="1:7" x14ac:dyDescent="0.2">
      <c r="A1" s="2" t="s">
        <v>192</v>
      </c>
    </row>
    <row r="4" spans="1:7" ht="17" thickBot="1" x14ac:dyDescent="0.25">
      <c r="A4" s="24" t="s">
        <v>183</v>
      </c>
      <c r="B4" s="24" t="s">
        <v>184</v>
      </c>
      <c r="C4" s="24" t="s">
        <v>185</v>
      </c>
      <c r="D4" s="24" t="s">
        <v>186</v>
      </c>
      <c r="E4" s="24" t="s">
        <v>0</v>
      </c>
      <c r="F4" s="24" t="s">
        <v>1</v>
      </c>
      <c r="G4" s="24" t="s">
        <v>2</v>
      </c>
    </row>
    <row r="5" spans="1:7" ht="17" thickTop="1" x14ac:dyDescent="0.2">
      <c r="A5" s="22">
        <v>14</v>
      </c>
      <c r="B5" s="23">
        <v>49</v>
      </c>
      <c r="C5" s="23">
        <v>48</v>
      </c>
      <c r="D5" s="23">
        <v>13</v>
      </c>
      <c r="E5" s="23" t="s">
        <v>7</v>
      </c>
      <c r="F5" s="23" t="s">
        <v>8</v>
      </c>
      <c r="G5" s="23" t="s">
        <v>9</v>
      </c>
    </row>
    <row r="6" spans="1:7" x14ac:dyDescent="0.2">
      <c r="A6" s="22">
        <v>6</v>
      </c>
      <c r="B6" s="23">
        <v>11</v>
      </c>
      <c r="C6" s="23">
        <v>10</v>
      </c>
      <c r="D6" s="23">
        <v>4</v>
      </c>
      <c r="E6" s="23" t="s">
        <v>13</v>
      </c>
      <c r="F6" s="23" t="s">
        <v>8</v>
      </c>
      <c r="G6" s="23" t="s">
        <v>9</v>
      </c>
    </row>
    <row r="7" spans="1:7" x14ac:dyDescent="0.2">
      <c r="A7" s="22">
        <v>0</v>
      </c>
      <c r="B7" s="23">
        <v>1</v>
      </c>
      <c r="C7" s="23">
        <v>0</v>
      </c>
      <c r="D7" s="23">
        <v>0</v>
      </c>
      <c r="E7" s="23" t="s">
        <v>16</v>
      </c>
      <c r="F7" s="23" t="s">
        <v>8</v>
      </c>
      <c r="G7" s="23" t="s">
        <v>9</v>
      </c>
    </row>
    <row r="8" spans="1:7" x14ac:dyDescent="0.2">
      <c r="A8" s="22">
        <v>1</v>
      </c>
      <c r="B8" s="23">
        <v>1</v>
      </c>
      <c r="C8" s="23">
        <v>0</v>
      </c>
      <c r="D8" s="23">
        <v>0</v>
      </c>
      <c r="E8" s="23" t="s">
        <v>19</v>
      </c>
      <c r="F8" s="23" t="s">
        <v>8</v>
      </c>
      <c r="G8" s="23" t="s">
        <v>9</v>
      </c>
    </row>
    <row r="9" spans="1:7" x14ac:dyDescent="0.2">
      <c r="A9" s="22">
        <v>0</v>
      </c>
      <c r="B9" s="23">
        <v>1</v>
      </c>
      <c r="C9" s="23">
        <v>0</v>
      </c>
      <c r="D9" s="23">
        <v>0</v>
      </c>
      <c r="E9" s="23" t="s">
        <v>22</v>
      </c>
      <c r="F9" s="23" t="s">
        <v>8</v>
      </c>
      <c r="G9" s="23" t="s">
        <v>9</v>
      </c>
    </row>
    <row r="10" spans="1:7" x14ac:dyDescent="0.2">
      <c r="A10" s="22">
        <v>0</v>
      </c>
      <c r="B10" s="23">
        <v>1</v>
      </c>
      <c r="C10" s="23">
        <v>0</v>
      </c>
      <c r="D10" s="23">
        <v>0</v>
      </c>
      <c r="E10" s="23" t="s">
        <v>24</v>
      </c>
      <c r="F10" s="23" t="s">
        <v>8</v>
      </c>
      <c r="G10" s="23" t="s">
        <v>9</v>
      </c>
    </row>
    <row r="11" spans="1:7" x14ac:dyDescent="0.2">
      <c r="A11" s="22">
        <v>2</v>
      </c>
      <c r="B11" s="23">
        <v>5</v>
      </c>
      <c r="C11" s="23">
        <v>4</v>
      </c>
      <c r="D11" s="23">
        <v>2</v>
      </c>
      <c r="E11" s="23" t="s">
        <v>26</v>
      </c>
      <c r="F11" s="23" t="s">
        <v>27</v>
      </c>
      <c r="G11" s="23" t="s">
        <v>9</v>
      </c>
    </row>
    <row r="12" spans="1:7" x14ac:dyDescent="0.2">
      <c r="A12" s="22">
        <v>1</v>
      </c>
      <c r="B12" s="23">
        <v>1</v>
      </c>
      <c r="C12" s="23">
        <v>0</v>
      </c>
      <c r="D12" s="23">
        <v>0</v>
      </c>
      <c r="E12" s="23" t="s">
        <v>30</v>
      </c>
      <c r="F12" s="23" t="s">
        <v>8</v>
      </c>
      <c r="G12" s="23" t="s">
        <v>31</v>
      </c>
    </row>
    <row r="13" spans="1:7" x14ac:dyDescent="0.2">
      <c r="A13" s="22">
        <v>0</v>
      </c>
      <c r="B13" s="23">
        <v>1</v>
      </c>
      <c r="C13" s="23">
        <v>0</v>
      </c>
      <c r="D13" s="23">
        <v>0</v>
      </c>
      <c r="E13" s="23" t="s">
        <v>35</v>
      </c>
      <c r="F13" s="23" t="s">
        <v>8</v>
      </c>
      <c r="G13" s="23" t="s">
        <v>31</v>
      </c>
    </row>
    <row r="14" spans="1:7" x14ac:dyDescent="0.2">
      <c r="A14" s="22">
        <v>1</v>
      </c>
      <c r="B14" s="23">
        <v>1</v>
      </c>
      <c r="C14" s="23">
        <v>0</v>
      </c>
      <c r="D14" s="23">
        <v>0</v>
      </c>
      <c r="E14" s="23" t="s">
        <v>37</v>
      </c>
      <c r="F14" s="23" t="s">
        <v>8</v>
      </c>
      <c r="G14" s="23" t="s">
        <v>31</v>
      </c>
    </row>
    <row r="15" spans="1:7" x14ac:dyDescent="0.2">
      <c r="A15" s="22">
        <v>0</v>
      </c>
      <c r="B15" s="23">
        <v>1</v>
      </c>
      <c r="C15" s="23">
        <v>0</v>
      </c>
      <c r="D15" s="23">
        <v>0</v>
      </c>
      <c r="E15" s="23" t="s">
        <v>39</v>
      </c>
      <c r="F15" s="23" t="s">
        <v>8</v>
      </c>
      <c r="G15" s="23" t="s">
        <v>31</v>
      </c>
    </row>
    <row r="16" spans="1:7" x14ac:dyDescent="0.2">
      <c r="A16" s="22">
        <v>1</v>
      </c>
      <c r="B16" s="23">
        <v>1</v>
      </c>
      <c r="C16" s="23">
        <v>0</v>
      </c>
      <c r="D16" s="23">
        <v>0</v>
      </c>
      <c r="E16" s="23" t="s">
        <v>41</v>
      </c>
      <c r="F16" s="23" t="s">
        <v>8</v>
      </c>
      <c r="G16" s="23" t="s">
        <v>31</v>
      </c>
    </row>
    <row r="17" spans="1:7" x14ac:dyDescent="0.2">
      <c r="A17" s="22">
        <v>2</v>
      </c>
      <c r="B17" s="23">
        <v>3</v>
      </c>
      <c r="C17" s="23">
        <v>2</v>
      </c>
      <c r="D17" s="23">
        <v>1</v>
      </c>
      <c r="E17" s="23" t="s">
        <v>42</v>
      </c>
      <c r="F17" s="23" t="s">
        <v>8</v>
      </c>
      <c r="G17" s="23" t="s">
        <v>31</v>
      </c>
    </row>
    <row r="18" spans="1:7" x14ac:dyDescent="0.2">
      <c r="A18" s="22">
        <v>1</v>
      </c>
      <c r="B18" s="23">
        <v>3</v>
      </c>
      <c r="C18" s="23">
        <v>2</v>
      </c>
      <c r="D18" s="23">
        <v>1</v>
      </c>
      <c r="E18" s="23" t="s">
        <v>45</v>
      </c>
      <c r="F18" s="23" t="s">
        <v>8</v>
      </c>
      <c r="G18" s="23" t="s">
        <v>31</v>
      </c>
    </row>
    <row r="19" spans="1:7" x14ac:dyDescent="0.2">
      <c r="A19" s="22">
        <v>2</v>
      </c>
      <c r="B19" s="23">
        <v>3</v>
      </c>
      <c r="C19" s="23">
        <v>2</v>
      </c>
      <c r="D19" s="23">
        <v>1</v>
      </c>
      <c r="E19" s="23" t="s">
        <v>48</v>
      </c>
      <c r="F19" s="23" t="s">
        <v>8</v>
      </c>
      <c r="G19" s="23" t="s">
        <v>31</v>
      </c>
    </row>
    <row r="20" spans="1:7" x14ac:dyDescent="0.2">
      <c r="A20" s="22">
        <v>1</v>
      </c>
      <c r="B20" s="23">
        <v>1</v>
      </c>
      <c r="C20" s="23">
        <v>0</v>
      </c>
      <c r="D20" s="23">
        <v>0</v>
      </c>
      <c r="E20" s="23" t="s">
        <v>50</v>
      </c>
      <c r="F20" s="23" t="s">
        <v>8</v>
      </c>
      <c r="G20" s="23" t="s">
        <v>51</v>
      </c>
    </row>
    <row r="21" spans="1:7" x14ac:dyDescent="0.2">
      <c r="A21" s="22">
        <v>1</v>
      </c>
      <c r="B21" s="23">
        <v>1</v>
      </c>
      <c r="C21" s="23">
        <v>0</v>
      </c>
      <c r="D21" s="23">
        <v>0</v>
      </c>
      <c r="E21" s="23" t="s">
        <v>54</v>
      </c>
      <c r="F21" s="23" t="s">
        <v>8</v>
      </c>
      <c r="G21" s="23" t="s">
        <v>51</v>
      </c>
    </row>
    <row r="22" spans="1:7" x14ac:dyDescent="0.2">
      <c r="A22" s="22">
        <v>1</v>
      </c>
      <c r="B22" s="23">
        <v>1</v>
      </c>
      <c r="C22" s="23">
        <v>0</v>
      </c>
      <c r="D22" s="23">
        <v>0</v>
      </c>
      <c r="E22" s="23" t="s">
        <v>56</v>
      </c>
      <c r="F22" s="23" t="s">
        <v>8</v>
      </c>
      <c r="G22" s="23" t="s">
        <v>51</v>
      </c>
    </row>
    <row r="23" spans="1:7" x14ac:dyDescent="0.2">
      <c r="A23" s="22">
        <v>1</v>
      </c>
      <c r="B23" s="23">
        <v>1</v>
      </c>
      <c r="C23" s="23">
        <v>0</v>
      </c>
      <c r="D23" s="23">
        <v>0</v>
      </c>
      <c r="E23" s="23" t="s">
        <v>58</v>
      </c>
      <c r="F23" s="23" t="s">
        <v>8</v>
      </c>
      <c r="G23" s="23" t="s">
        <v>59</v>
      </c>
    </row>
    <row r="24" spans="1:7" x14ac:dyDescent="0.2">
      <c r="A24" s="22">
        <v>1</v>
      </c>
      <c r="B24" s="23">
        <v>3</v>
      </c>
      <c r="C24" s="23">
        <v>2</v>
      </c>
      <c r="D24" s="23">
        <v>1</v>
      </c>
      <c r="E24" s="23" t="s">
        <v>61</v>
      </c>
      <c r="F24" s="23" t="s">
        <v>8</v>
      </c>
      <c r="G24" s="23" t="s">
        <v>59</v>
      </c>
    </row>
    <row r="25" spans="1:7" x14ac:dyDescent="0.2">
      <c r="A25" s="22">
        <v>1</v>
      </c>
      <c r="B25" s="23">
        <v>1</v>
      </c>
      <c r="C25" s="23">
        <v>0</v>
      </c>
      <c r="D25" s="23">
        <v>0</v>
      </c>
      <c r="E25" s="23" t="s">
        <v>63</v>
      </c>
      <c r="F25" s="23" t="s">
        <v>8</v>
      </c>
      <c r="G25" s="23" t="s">
        <v>59</v>
      </c>
    </row>
    <row r="26" spans="1:7" x14ac:dyDescent="0.2">
      <c r="A26" s="22">
        <v>0</v>
      </c>
      <c r="B26" s="23">
        <v>1</v>
      </c>
      <c r="C26" s="23">
        <v>0</v>
      </c>
      <c r="D26" s="23">
        <v>0</v>
      </c>
      <c r="E26" s="23" t="s">
        <v>65</v>
      </c>
      <c r="F26" s="23" t="s">
        <v>8</v>
      </c>
      <c r="G26" s="23" t="s">
        <v>59</v>
      </c>
    </row>
    <row r="27" spans="1:7" x14ac:dyDescent="0.2">
      <c r="A27" s="22">
        <v>1</v>
      </c>
      <c r="B27" s="23">
        <v>1</v>
      </c>
      <c r="C27" s="23">
        <v>0</v>
      </c>
      <c r="D27" s="23">
        <v>0</v>
      </c>
      <c r="E27" s="23" t="s">
        <v>66</v>
      </c>
      <c r="F27" s="23" t="s">
        <v>8</v>
      </c>
      <c r="G27" s="23" t="s">
        <v>59</v>
      </c>
    </row>
    <row r="28" spans="1:7" x14ac:dyDescent="0.2">
      <c r="A28" s="22">
        <v>0</v>
      </c>
      <c r="B28" s="23">
        <v>1</v>
      </c>
      <c r="C28" s="23">
        <v>0</v>
      </c>
      <c r="D28" s="23">
        <v>0</v>
      </c>
      <c r="E28" s="23" t="s">
        <v>68</v>
      </c>
      <c r="F28" s="23" t="s">
        <v>8</v>
      </c>
      <c r="G28" s="23" t="s">
        <v>59</v>
      </c>
    </row>
    <row r="29" spans="1:7" x14ac:dyDescent="0.2">
      <c r="A29" s="22">
        <v>4</v>
      </c>
      <c r="B29" s="23">
        <v>7</v>
      </c>
      <c r="C29" s="23">
        <v>6</v>
      </c>
      <c r="D29" s="23">
        <v>3</v>
      </c>
      <c r="E29" s="23" t="s">
        <v>69</v>
      </c>
      <c r="F29" s="23" t="s">
        <v>8</v>
      </c>
      <c r="G29" s="23" t="s">
        <v>59</v>
      </c>
    </row>
    <row r="30" spans="1:7" x14ac:dyDescent="0.2">
      <c r="A30" s="22">
        <v>1</v>
      </c>
      <c r="B30" s="23">
        <v>1</v>
      </c>
      <c r="C30" s="23">
        <v>0</v>
      </c>
      <c r="D30" s="23">
        <v>0</v>
      </c>
      <c r="E30" s="23" t="s">
        <v>71</v>
      </c>
      <c r="F30" s="23" t="s">
        <v>8</v>
      </c>
      <c r="G30" s="23" t="s">
        <v>59</v>
      </c>
    </row>
    <row r="31" spans="1:7" x14ac:dyDescent="0.2">
      <c r="A31" s="22">
        <v>0</v>
      </c>
      <c r="B31" s="23">
        <v>1</v>
      </c>
      <c r="C31" s="23">
        <v>0</v>
      </c>
      <c r="D31" s="23">
        <v>0</v>
      </c>
      <c r="E31" s="23" t="s">
        <v>73</v>
      </c>
      <c r="F31" s="23" t="s">
        <v>8</v>
      </c>
      <c r="G31" s="23" t="s">
        <v>59</v>
      </c>
    </row>
    <row r="32" spans="1:7" x14ac:dyDescent="0.2">
      <c r="A32" s="22">
        <v>0</v>
      </c>
      <c r="B32" s="23">
        <v>1</v>
      </c>
      <c r="C32" s="23">
        <v>0</v>
      </c>
      <c r="D32" s="23">
        <v>0</v>
      </c>
      <c r="E32" s="23" t="s">
        <v>76</v>
      </c>
      <c r="F32" s="23" t="s">
        <v>8</v>
      </c>
      <c r="G32" s="23" t="s">
        <v>59</v>
      </c>
    </row>
    <row r="33" spans="1:7" x14ac:dyDescent="0.2">
      <c r="A33" s="22">
        <v>0</v>
      </c>
      <c r="B33" s="23">
        <v>1</v>
      </c>
      <c r="C33" s="23">
        <v>0</v>
      </c>
      <c r="D33" s="23">
        <v>0</v>
      </c>
      <c r="E33" s="23" t="s">
        <v>78</v>
      </c>
      <c r="F33" s="23" t="s">
        <v>8</v>
      </c>
      <c r="G33" s="23" t="s">
        <v>59</v>
      </c>
    </row>
    <row r="34" spans="1:7" x14ac:dyDescent="0.2">
      <c r="A34" s="22">
        <v>1</v>
      </c>
      <c r="B34" s="23">
        <v>1</v>
      </c>
      <c r="C34" s="23">
        <v>0</v>
      </c>
      <c r="D34" s="23">
        <v>0</v>
      </c>
      <c r="E34" s="23" t="s">
        <v>82</v>
      </c>
      <c r="F34" s="23" t="s">
        <v>8</v>
      </c>
      <c r="G34" s="23" t="s">
        <v>59</v>
      </c>
    </row>
    <row r="35" spans="1:7" x14ac:dyDescent="0.2">
      <c r="A35" s="22">
        <v>0</v>
      </c>
      <c r="B35" s="23">
        <v>1</v>
      </c>
      <c r="C35" s="23">
        <v>0</v>
      </c>
      <c r="D35" s="23">
        <v>0</v>
      </c>
      <c r="E35" s="23" t="s">
        <v>85</v>
      </c>
      <c r="F35" s="23" t="s">
        <v>86</v>
      </c>
      <c r="G35" s="23" t="s">
        <v>59</v>
      </c>
    </row>
    <row r="36" spans="1:7" x14ac:dyDescent="0.2">
      <c r="A36" s="22">
        <v>2</v>
      </c>
      <c r="B36" s="23">
        <v>3</v>
      </c>
      <c r="C36" s="23">
        <v>2</v>
      </c>
      <c r="D36" s="23">
        <v>1</v>
      </c>
      <c r="E36" s="23" t="s">
        <v>88</v>
      </c>
      <c r="F36" s="23" t="s">
        <v>8</v>
      </c>
      <c r="G36" s="23" t="s">
        <v>59</v>
      </c>
    </row>
    <row r="37" spans="1:7" x14ac:dyDescent="0.2">
      <c r="A37" s="22">
        <v>2</v>
      </c>
      <c r="B37" s="23">
        <v>9</v>
      </c>
      <c r="C37" s="23">
        <v>8</v>
      </c>
      <c r="D37" s="23">
        <v>3</v>
      </c>
      <c r="E37" s="23" t="s">
        <v>90</v>
      </c>
      <c r="F37" s="23" t="s">
        <v>8</v>
      </c>
      <c r="G37" s="23" t="s">
        <v>59</v>
      </c>
    </row>
    <row r="38" spans="1:7" x14ac:dyDescent="0.2">
      <c r="A38" s="22">
        <v>1</v>
      </c>
      <c r="B38" s="23">
        <v>1</v>
      </c>
      <c r="C38" s="23">
        <v>0</v>
      </c>
      <c r="D38" s="23">
        <v>0</v>
      </c>
      <c r="E38" s="23" t="s">
        <v>91</v>
      </c>
      <c r="F38" s="23" t="s">
        <v>8</v>
      </c>
      <c r="G38" s="23" t="s">
        <v>59</v>
      </c>
    </row>
    <row r="39" spans="1:7" x14ac:dyDescent="0.2">
      <c r="A39" s="22">
        <v>1</v>
      </c>
      <c r="B39" s="23">
        <v>3</v>
      </c>
      <c r="C39" s="23">
        <v>2</v>
      </c>
      <c r="D39" s="23">
        <v>1</v>
      </c>
      <c r="E39" s="23" t="s">
        <v>93</v>
      </c>
      <c r="F39" s="23" t="s">
        <v>94</v>
      </c>
      <c r="G39" s="23" t="s">
        <v>9</v>
      </c>
    </row>
    <row r="40" spans="1:7" x14ac:dyDescent="0.2">
      <c r="A40" s="22">
        <v>2</v>
      </c>
      <c r="B40" s="23">
        <v>3</v>
      </c>
      <c r="C40" s="23">
        <v>2</v>
      </c>
      <c r="D40" s="23">
        <v>1</v>
      </c>
      <c r="E40" s="23" t="s">
        <v>96</v>
      </c>
      <c r="F40" s="23" t="s">
        <v>94</v>
      </c>
      <c r="G40" s="23" t="s">
        <v>9</v>
      </c>
    </row>
    <row r="41" spans="1:7" x14ac:dyDescent="0.2">
      <c r="A41" s="22">
        <v>0</v>
      </c>
      <c r="B41" s="23">
        <v>1</v>
      </c>
      <c r="C41" s="23">
        <v>0</v>
      </c>
      <c r="D41" s="23">
        <v>0</v>
      </c>
      <c r="E41" s="23" t="s">
        <v>98</v>
      </c>
      <c r="F41" s="23" t="s">
        <v>94</v>
      </c>
      <c r="G41" s="23" t="s">
        <v>9</v>
      </c>
    </row>
    <row r="42" spans="1:7" x14ac:dyDescent="0.2">
      <c r="A42" s="22">
        <v>1</v>
      </c>
      <c r="B42" s="23">
        <v>3</v>
      </c>
      <c r="C42" s="23">
        <v>2</v>
      </c>
      <c r="D42" s="23">
        <v>1</v>
      </c>
      <c r="E42" s="23" t="s">
        <v>100</v>
      </c>
      <c r="F42" s="23" t="s">
        <v>94</v>
      </c>
      <c r="G42" s="23" t="s">
        <v>9</v>
      </c>
    </row>
    <row r="43" spans="1:7" x14ac:dyDescent="0.2">
      <c r="A43" s="22">
        <v>0</v>
      </c>
      <c r="B43" s="23">
        <v>1</v>
      </c>
      <c r="C43" s="23">
        <v>0</v>
      </c>
      <c r="D43" s="23">
        <v>0</v>
      </c>
      <c r="E43" s="23" t="s">
        <v>102</v>
      </c>
      <c r="F43" s="23" t="s">
        <v>94</v>
      </c>
      <c r="G43" s="23" t="s">
        <v>59</v>
      </c>
    </row>
    <row r="44" spans="1:7" x14ac:dyDescent="0.2">
      <c r="A44" s="22">
        <v>3</v>
      </c>
      <c r="B44" s="23">
        <v>5</v>
      </c>
      <c r="C44" s="23">
        <v>4</v>
      </c>
      <c r="D44" s="23">
        <v>2</v>
      </c>
      <c r="E44" s="23" t="s">
        <v>105</v>
      </c>
      <c r="F44" s="23" t="s">
        <v>94</v>
      </c>
      <c r="G44" s="23" t="s">
        <v>59</v>
      </c>
    </row>
    <row r="45" spans="1:7" x14ac:dyDescent="0.2">
      <c r="A45" s="22">
        <v>4</v>
      </c>
      <c r="B45" s="23">
        <v>9</v>
      </c>
      <c r="C45" s="23">
        <v>8</v>
      </c>
      <c r="D45" s="23">
        <v>3</v>
      </c>
      <c r="E45" s="23" t="s">
        <v>109</v>
      </c>
      <c r="F45" s="23" t="s">
        <v>94</v>
      </c>
      <c r="G45" s="23" t="s">
        <v>59</v>
      </c>
    </row>
    <row r="46" spans="1:7" x14ac:dyDescent="0.2">
      <c r="A46" s="22">
        <v>1</v>
      </c>
      <c r="B46" s="23">
        <v>1</v>
      </c>
      <c r="C46" s="23">
        <v>0</v>
      </c>
      <c r="D46" s="23">
        <v>0</v>
      </c>
      <c r="E46" s="23" t="s">
        <v>112</v>
      </c>
      <c r="F46" s="23" t="s">
        <v>94</v>
      </c>
      <c r="G46" s="23" t="s">
        <v>59</v>
      </c>
    </row>
    <row r="47" spans="1:7" x14ac:dyDescent="0.2">
      <c r="A47" s="22">
        <v>1</v>
      </c>
      <c r="B47" s="23">
        <v>1</v>
      </c>
      <c r="C47" s="23">
        <v>0</v>
      </c>
      <c r="D47" s="23">
        <v>0</v>
      </c>
      <c r="E47" s="23" t="s">
        <v>115</v>
      </c>
      <c r="F47" s="23" t="s">
        <v>94</v>
      </c>
      <c r="G47" s="23" t="s">
        <v>59</v>
      </c>
    </row>
    <row r="48" spans="1:7" x14ac:dyDescent="0.2">
      <c r="A48" s="22">
        <v>4</v>
      </c>
      <c r="B48" s="23">
        <v>7</v>
      </c>
      <c r="C48" s="23">
        <v>6</v>
      </c>
      <c r="D48" s="23">
        <v>3</v>
      </c>
      <c r="E48" s="23" t="s">
        <v>118</v>
      </c>
      <c r="F48" s="23" t="s">
        <v>94</v>
      </c>
      <c r="G48" s="23" t="s">
        <v>119</v>
      </c>
    </row>
    <row r="49" spans="1:7" x14ac:dyDescent="0.2">
      <c r="A49" s="22">
        <v>4</v>
      </c>
      <c r="B49" s="23">
        <v>7</v>
      </c>
      <c r="C49" s="23">
        <v>6</v>
      </c>
      <c r="D49" s="23">
        <v>3</v>
      </c>
      <c r="E49" s="23" t="s">
        <v>121</v>
      </c>
      <c r="F49" s="23" t="s">
        <v>94</v>
      </c>
      <c r="G49" s="23" t="s">
        <v>122</v>
      </c>
    </row>
    <row r="50" spans="1:7" x14ac:dyDescent="0.2">
      <c r="A50" s="22">
        <v>1</v>
      </c>
      <c r="B50" s="23">
        <v>1</v>
      </c>
      <c r="C50" s="23">
        <v>0</v>
      </c>
      <c r="D50" s="23">
        <v>0</v>
      </c>
      <c r="E50" s="23" t="s">
        <v>125</v>
      </c>
      <c r="F50" s="23" t="s">
        <v>94</v>
      </c>
      <c r="G50" s="23" t="s">
        <v>122</v>
      </c>
    </row>
    <row r="51" spans="1:7" x14ac:dyDescent="0.2">
      <c r="A51" s="22">
        <v>0</v>
      </c>
      <c r="B51" s="23">
        <v>1</v>
      </c>
      <c r="C51" s="23">
        <v>0</v>
      </c>
      <c r="D51" s="23">
        <v>0</v>
      </c>
      <c r="E51" s="23" t="s">
        <v>128</v>
      </c>
      <c r="F51" s="23" t="s">
        <v>94</v>
      </c>
      <c r="G51" s="23" t="s">
        <v>122</v>
      </c>
    </row>
    <row r="52" spans="1:7" x14ac:dyDescent="0.2">
      <c r="A52" s="22">
        <v>2</v>
      </c>
      <c r="B52" s="23">
        <v>5</v>
      </c>
      <c r="C52" s="23">
        <v>4</v>
      </c>
      <c r="D52" s="23">
        <v>2</v>
      </c>
      <c r="E52" s="23" t="s">
        <v>130</v>
      </c>
      <c r="F52" s="23" t="s">
        <v>94</v>
      </c>
      <c r="G52" s="23" t="s">
        <v>122</v>
      </c>
    </row>
    <row r="53" spans="1:7" x14ac:dyDescent="0.2">
      <c r="A53" s="22">
        <v>1</v>
      </c>
      <c r="B53" s="23">
        <v>3</v>
      </c>
      <c r="C53" s="23">
        <v>2</v>
      </c>
      <c r="D53" s="23">
        <v>1</v>
      </c>
      <c r="E53" s="23" t="s">
        <v>133</v>
      </c>
      <c r="F53" s="23" t="s">
        <v>94</v>
      </c>
      <c r="G53" s="23" t="s">
        <v>122</v>
      </c>
    </row>
    <row r="54" spans="1:7" x14ac:dyDescent="0.2">
      <c r="A54" s="22">
        <v>1</v>
      </c>
      <c r="B54" s="23">
        <v>3</v>
      </c>
      <c r="C54" s="23">
        <v>2</v>
      </c>
      <c r="D54" s="23">
        <v>1</v>
      </c>
      <c r="E54" s="23" t="s">
        <v>136</v>
      </c>
      <c r="F54" s="23" t="s">
        <v>94</v>
      </c>
      <c r="G54" s="23" t="s">
        <v>122</v>
      </c>
    </row>
    <row r="55" spans="1:7" x14ac:dyDescent="0.2">
      <c r="A55" s="22">
        <v>6</v>
      </c>
      <c r="B55" s="23">
        <v>13</v>
      </c>
      <c r="C55" s="23">
        <v>12</v>
      </c>
      <c r="D55" s="23">
        <v>5</v>
      </c>
      <c r="E55" s="23" t="s">
        <v>139</v>
      </c>
      <c r="F55" s="23" t="s">
        <v>94</v>
      </c>
      <c r="G55" s="23" t="s">
        <v>122</v>
      </c>
    </row>
    <row r="56" spans="1:7" x14ac:dyDescent="0.2">
      <c r="A56" s="22">
        <v>0</v>
      </c>
      <c r="B56" s="23">
        <v>1</v>
      </c>
      <c r="C56" s="23">
        <v>0</v>
      </c>
      <c r="D56" s="23">
        <v>0</v>
      </c>
      <c r="E56" s="23" t="s">
        <v>141</v>
      </c>
      <c r="F56" s="23" t="s">
        <v>94</v>
      </c>
      <c r="G56" s="23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7335-7320-034E-881D-E80532C250BF}">
  <dimension ref="A1:AC83"/>
  <sheetViews>
    <sheetView workbookViewId="0"/>
  </sheetViews>
  <sheetFormatPr baseColWidth="10" defaultRowHeight="16" x14ac:dyDescent="0.2"/>
  <sheetData>
    <row r="1" spans="1:29" x14ac:dyDescent="0.2">
      <c r="A1" s="2" t="s">
        <v>193</v>
      </c>
    </row>
    <row r="3" spans="1:29" x14ac:dyDescent="0.2">
      <c r="A3" s="28" t="s">
        <v>248</v>
      </c>
      <c r="B3" s="28" t="s">
        <v>1</v>
      </c>
      <c r="C3" s="28" t="s">
        <v>2</v>
      </c>
      <c r="D3" s="28" t="s">
        <v>249</v>
      </c>
      <c r="E3" s="28" t="s">
        <v>250</v>
      </c>
      <c r="F3" s="28" t="s">
        <v>251</v>
      </c>
      <c r="G3" s="28" t="s">
        <v>163</v>
      </c>
      <c r="H3" s="28" t="s">
        <v>252</v>
      </c>
      <c r="I3" s="28" t="s">
        <v>253</v>
      </c>
      <c r="J3" s="28" t="s">
        <v>254</v>
      </c>
      <c r="K3" s="28" t="s">
        <v>255</v>
      </c>
      <c r="L3" s="28" t="s">
        <v>256</v>
      </c>
      <c r="M3" s="28" t="s">
        <v>257</v>
      </c>
      <c r="N3" s="28" t="s">
        <v>258</v>
      </c>
      <c r="O3" s="28" t="s">
        <v>259</v>
      </c>
      <c r="P3" s="28" t="s">
        <v>260</v>
      </c>
      <c r="Q3" s="28" t="s">
        <v>261</v>
      </c>
      <c r="R3" s="28" t="s">
        <v>262</v>
      </c>
      <c r="S3" s="28" t="s">
        <v>3</v>
      </c>
      <c r="T3" s="28" t="s">
        <v>263</v>
      </c>
      <c r="U3" s="28" t="s">
        <v>264</v>
      </c>
      <c r="V3" s="28" t="s">
        <v>265</v>
      </c>
      <c r="W3" s="28" t="s">
        <v>266</v>
      </c>
      <c r="X3" s="28" t="s">
        <v>267</v>
      </c>
      <c r="Y3" s="28" t="s">
        <v>268</v>
      </c>
      <c r="Z3" s="28" t="s">
        <v>269</v>
      </c>
      <c r="AA3" s="28" t="s">
        <v>270</v>
      </c>
      <c r="AB3" s="28" t="s">
        <v>271</v>
      </c>
      <c r="AC3" s="28" t="s">
        <v>272</v>
      </c>
    </row>
    <row r="4" spans="1:29" x14ac:dyDescent="0.2">
      <c r="A4" s="29" t="s">
        <v>42</v>
      </c>
      <c r="B4" s="29" t="s">
        <v>8</v>
      </c>
      <c r="C4" s="29" t="s">
        <v>31</v>
      </c>
      <c r="D4" s="29" t="s">
        <v>146</v>
      </c>
      <c r="E4" s="29" t="s">
        <v>146</v>
      </c>
      <c r="F4" s="29" t="b">
        <v>1</v>
      </c>
      <c r="G4" s="29">
        <v>10</v>
      </c>
      <c r="H4" s="29">
        <v>11</v>
      </c>
      <c r="I4" s="29">
        <v>1</v>
      </c>
      <c r="J4" s="29">
        <v>-17.835599999999999</v>
      </c>
      <c r="K4" s="29">
        <v>37.671129999999998</v>
      </c>
      <c r="L4" s="29">
        <v>38.171129999999998</v>
      </c>
      <c r="M4" s="29">
        <v>37.97372</v>
      </c>
      <c r="N4" s="29">
        <v>0</v>
      </c>
      <c r="O4" s="29">
        <v>0.78754199999999996</v>
      </c>
      <c r="P4" s="29">
        <v>0</v>
      </c>
      <c r="Q4" s="29">
        <v>223</v>
      </c>
      <c r="R4" s="29" t="s">
        <v>209</v>
      </c>
      <c r="S4" s="29" t="s">
        <v>20</v>
      </c>
      <c r="T4" s="29" t="s">
        <v>273</v>
      </c>
      <c r="U4" s="29" t="s">
        <v>274</v>
      </c>
      <c r="V4" s="29">
        <v>7.3489490000000002</v>
      </c>
      <c r="W4" s="29"/>
      <c r="X4" s="29"/>
      <c r="Y4" s="29"/>
      <c r="Z4" s="29"/>
      <c r="AA4" s="29"/>
      <c r="AB4" s="29"/>
      <c r="AC4" s="29" t="b">
        <v>1</v>
      </c>
    </row>
    <row r="5" spans="1:29" x14ac:dyDescent="0.2">
      <c r="A5" s="29" t="s">
        <v>42</v>
      </c>
      <c r="B5" s="29" t="s">
        <v>8</v>
      </c>
      <c r="C5" s="29" t="s">
        <v>31</v>
      </c>
      <c r="D5" s="29" t="s">
        <v>275</v>
      </c>
      <c r="E5" s="29" t="s">
        <v>146</v>
      </c>
      <c r="F5" s="29" t="b">
        <v>0</v>
      </c>
      <c r="G5" s="29">
        <v>10</v>
      </c>
      <c r="H5" s="29">
        <v>11</v>
      </c>
      <c r="I5" s="29">
        <v>2</v>
      </c>
      <c r="J5" s="29">
        <v>-17.834199999999999</v>
      </c>
      <c r="K5" s="29">
        <v>39.668430000000001</v>
      </c>
      <c r="L5" s="29">
        <v>41.382719999999999</v>
      </c>
      <c r="M5" s="29">
        <v>40.273600000000002</v>
      </c>
      <c r="N5" s="29">
        <v>3.2115870000000002</v>
      </c>
      <c r="O5" s="29">
        <v>0.158083</v>
      </c>
      <c r="P5" s="29">
        <v>0</v>
      </c>
      <c r="Q5" s="29">
        <v>223</v>
      </c>
      <c r="R5" s="29" t="s">
        <v>209</v>
      </c>
      <c r="S5" s="29" t="s">
        <v>20</v>
      </c>
      <c r="T5" s="29" t="s">
        <v>273</v>
      </c>
      <c r="U5" s="29" t="s">
        <v>274</v>
      </c>
      <c r="V5" s="29">
        <v>7.3479580000000002</v>
      </c>
      <c r="W5" s="29">
        <v>0.48857899999999999</v>
      </c>
      <c r="X5" s="29"/>
      <c r="Y5" s="29"/>
      <c r="Z5" s="29"/>
      <c r="AA5" s="29"/>
      <c r="AB5" s="29"/>
      <c r="AC5" s="29" t="b">
        <v>1</v>
      </c>
    </row>
    <row r="6" spans="1:29" x14ac:dyDescent="0.2">
      <c r="A6" s="29" t="s">
        <v>42</v>
      </c>
      <c r="B6" s="29" t="s">
        <v>8</v>
      </c>
      <c r="C6" s="29" t="s">
        <v>31</v>
      </c>
      <c r="D6" s="29" t="s">
        <v>276</v>
      </c>
      <c r="E6" s="29" t="s">
        <v>146</v>
      </c>
      <c r="F6" s="29" t="b">
        <v>0</v>
      </c>
      <c r="G6" s="29">
        <v>10</v>
      </c>
      <c r="H6" s="29">
        <v>11</v>
      </c>
      <c r="I6" s="29">
        <v>3</v>
      </c>
      <c r="J6" s="29">
        <v>-16.8535</v>
      </c>
      <c r="K6" s="29">
        <v>39.706960000000002</v>
      </c>
      <c r="L6" s="29">
        <v>43.706960000000002</v>
      </c>
      <c r="M6" s="29">
        <v>40.614719999999998</v>
      </c>
      <c r="N6" s="29">
        <v>5.5358309999999999</v>
      </c>
      <c r="O6" s="29">
        <v>4.9452000000000003E-2</v>
      </c>
      <c r="P6" s="29">
        <v>0</v>
      </c>
      <c r="Q6" s="29">
        <v>223</v>
      </c>
      <c r="R6" s="29" t="s">
        <v>209</v>
      </c>
      <c r="S6" s="29" t="s">
        <v>20</v>
      </c>
      <c r="T6" s="29" t="s">
        <v>273</v>
      </c>
      <c r="U6" s="29" t="s">
        <v>274</v>
      </c>
      <c r="V6" s="29">
        <v>8.0563479999999998</v>
      </c>
      <c r="W6" s="29"/>
      <c r="X6" s="29">
        <v>7.7506310000000003</v>
      </c>
      <c r="Y6" s="29">
        <v>-3.9396</v>
      </c>
      <c r="Z6" s="29"/>
      <c r="AA6" s="29"/>
      <c r="AB6" s="29"/>
      <c r="AC6" s="29" t="b">
        <v>1</v>
      </c>
    </row>
    <row r="7" spans="1:29" x14ac:dyDescent="0.2">
      <c r="A7" s="29" t="s">
        <v>42</v>
      </c>
      <c r="B7" s="29" t="s">
        <v>8</v>
      </c>
      <c r="C7" s="29" t="s">
        <v>31</v>
      </c>
      <c r="D7" s="29" t="s">
        <v>277</v>
      </c>
      <c r="E7" s="29" t="s">
        <v>146</v>
      </c>
      <c r="F7" s="29" t="b">
        <v>0</v>
      </c>
      <c r="G7" s="29">
        <v>10</v>
      </c>
      <c r="H7" s="29">
        <v>11</v>
      </c>
      <c r="I7" s="29">
        <v>3</v>
      </c>
      <c r="J7" s="29">
        <v>-19.202500000000001</v>
      </c>
      <c r="K7" s="29">
        <v>44.405029999999996</v>
      </c>
      <c r="L7" s="29">
        <v>48.405029999999996</v>
      </c>
      <c r="M7" s="29">
        <v>45.31279</v>
      </c>
      <c r="N7" s="29">
        <v>10.2339</v>
      </c>
      <c r="O7" s="29">
        <v>4.7210000000000004E-3</v>
      </c>
      <c r="P7" s="29">
        <v>0</v>
      </c>
      <c r="Q7" s="29">
        <v>223</v>
      </c>
      <c r="R7" s="29" t="s">
        <v>209</v>
      </c>
      <c r="S7" s="29" t="s">
        <v>20</v>
      </c>
      <c r="T7" s="29" t="s">
        <v>273</v>
      </c>
      <c r="U7" s="29" t="s">
        <v>274</v>
      </c>
      <c r="V7" s="29">
        <v>1.650887</v>
      </c>
      <c r="W7" s="29"/>
      <c r="X7" s="29"/>
      <c r="Y7" s="29"/>
      <c r="Z7" s="29">
        <v>2</v>
      </c>
      <c r="AA7" s="29"/>
      <c r="AB7" s="29"/>
      <c r="AC7" s="29" t="b">
        <v>1</v>
      </c>
    </row>
    <row r="8" spans="1:29" x14ac:dyDescent="0.2">
      <c r="A8" s="29" t="s">
        <v>42</v>
      </c>
      <c r="B8" s="29" t="s">
        <v>8</v>
      </c>
      <c r="C8" s="29" t="s">
        <v>31</v>
      </c>
      <c r="D8" s="29" t="s">
        <v>278</v>
      </c>
      <c r="E8" s="29" t="s">
        <v>146</v>
      </c>
      <c r="F8" s="29" t="b">
        <v>0</v>
      </c>
      <c r="G8" s="29">
        <v>10</v>
      </c>
      <c r="H8" s="29">
        <v>11</v>
      </c>
      <c r="I8" s="29">
        <v>5</v>
      </c>
      <c r="J8" s="29">
        <v>-14.852399999999999</v>
      </c>
      <c r="K8" s="29">
        <v>39.704709999999999</v>
      </c>
      <c r="L8" s="29">
        <v>54.704709999999999</v>
      </c>
      <c r="M8" s="29">
        <v>41.217640000000003</v>
      </c>
      <c r="N8" s="29">
        <v>16.533580000000001</v>
      </c>
      <c r="O8" s="29">
        <v>2.02E-4</v>
      </c>
      <c r="P8" s="29">
        <v>0</v>
      </c>
      <c r="Q8" s="29">
        <v>223</v>
      </c>
      <c r="R8" s="29" t="s">
        <v>209</v>
      </c>
      <c r="S8" s="29" t="s">
        <v>20</v>
      </c>
      <c r="T8" s="29" t="s">
        <v>273</v>
      </c>
      <c r="U8" s="29" t="s">
        <v>274</v>
      </c>
      <c r="V8" s="29">
        <v>1.7362010000000001</v>
      </c>
      <c r="W8" s="29"/>
      <c r="X8" s="29">
        <v>1.4672099999999999</v>
      </c>
      <c r="Y8" s="29">
        <v>0.99127100000000001</v>
      </c>
      <c r="Z8" s="29"/>
      <c r="AA8" s="29">
        <v>0.40961999999999998</v>
      </c>
      <c r="AB8" s="29">
        <v>2.430822</v>
      </c>
      <c r="AC8" s="29" t="b">
        <v>1</v>
      </c>
    </row>
    <row r="9" spans="1:29" x14ac:dyDescent="0.2">
      <c r="A9" s="29" t="s">
        <v>109</v>
      </c>
      <c r="B9" s="29" t="s">
        <v>94</v>
      </c>
      <c r="C9" s="29" t="s">
        <v>59</v>
      </c>
      <c r="D9" s="29" t="s">
        <v>146</v>
      </c>
      <c r="E9" s="29" t="s">
        <v>276</v>
      </c>
      <c r="F9" s="29" t="b">
        <v>0</v>
      </c>
      <c r="G9" s="29">
        <v>11</v>
      </c>
      <c r="H9" s="29">
        <v>12</v>
      </c>
      <c r="I9" s="29">
        <v>1</v>
      </c>
      <c r="J9" s="29">
        <v>-30.371500000000001</v>
      </c>
      <c r="K9" s="29">
        <v>62.742959999999997</v>
      </c>
      <c r="L9" s="29">
        <v>63.187399999999997</v>
      </c>
      <c r="M9" s="29">
        <v>63.14085</v>
      </c>
      <c r="N9" s="29">
        <v>3.1097359999999998</v>
      </c>
      <c r="O9" s="29">
        <v>0.15779099999999999</v>
      </c>
      <c r="P9" s="29">
        <v>0</v>
      </c>
      <c r="Q9" s="29">
        <v>287</v>
      </c>
      <c r="R9" s="29" t="s">
        <v>209</v>
      </c>
      <c r="S9" s="29" t="s">
        <v>28</v>
      </c>
      <c r="T9" s="29" t="s">
        <v>279</v>
      </c>
      <c r="U9" s="29" t="s">
        <v>274</v>
      </c>
      <c r="V9" s="29">
        <v>15.64044</v>
      </c>
      <c r="W9" s="29"/>
      <c r="X9" s="29"/>
      <c r="Y9" s="29"/>
      <c r="Z9" s="29"/>
      <c r="AA9" s="29"/>
      <c r="AB9" s="29"/>
      <c r="AC9" s="29" t="b">
        <v>1</v>
      </c>
    </row>
    <row r="10" spans="1:29" x14ac:dyDescent="0.2">
      <c r="A10" s="29" t="s">
        <v>109</v>
      </c>
      <c r="B10" s="29" t="s">
        <v>94</v>
      </c>
      <c r="C10" s="29" t="s">
        <v>59</v>
      </c>
      <c r="D10" s="29" t="s">
        <v>275</v>
      </c>
      <c r="E10" s="29" t="s">
        <v>276</v>
      </c>
      <c r="F10" s="29" t="b">
        <v>0</v>
      </c>
      <c r="G10" s="29">
        <v>11</v>
      </c>
      <c r="H10" s="29">
        <v>12</v>
      </c>
      <c r="I10" s="29">
        <v>2</v>
      </c>
      <c r="J10" s="29">
        <v>-30.3659</v>
      </c>
      <c r="K10" s="29">
        <v>64.731870000000001</v>
      </c>
      <c r="L10" s="29">
        <v>66.231870000000001</v>
      </c>
      <c r="M10" s="29">
        <v>65.527659999999997</v>
      </c>
      <c r="N10" s="29">
        <v>6.1542070000000004</v>
      </c>
      <c r="O10" s="29">
        <v>3.4433999999999999E-2</v>
      </c>
      <c r="P10" s="29">
        <v>0</v>
      </c>
      <c r="Q10" s="29">
        <v>287</v>
      </c>
      <c r="R10" s="29" t="s">
        <v>209</v>
      </c>
      <c r="S10" s="29" t="s">
        <v>28</v>
      </c>
      <c r="T10" s="29" t="s">
        <v>279</v>
      </c>
      <c r="U10" s="29" t="s">
        <v>274</v>
      </c>
      <c r="V10" s="29">
        <v>15.63256</v>
      </c>
      <c r="W10" s="29">
        <v>-1.8571500000000001</v>
      </c>
      <c r="X10" s="29"/>
      <c r="Y10" s="29"/>
      <c r="Z10" s="29"/>
      <c r="AA10" s="29"/>
      <c r="AB10" s="29"/>
      <c r="AC10" s="29" t="b">
        <v>1</v>
      </c>
    </row>
    <row r="11" spans="1:29" x14ac:dyDescent="0.2">
      <c r="A11" s="29" t="s">
        <v>109</v>
      </c>
      <c r="B11" s="29" t="s">
        <v>94</v>
      </c>
      <c r="C11" s="29" t="s">
        <v>59</v>
      </c>
      <c r="D11" s="29" t="s">
        <v>276</v>
      </c>
      <c r="E11" s="29" t="s">
        <v>276</v>
      </c>
      <c r="F11" s="29" t="b">
        <v>1</v>
      </c>
      <c r="G11" s="29">
        <v>11</v>
      </c>
      <c r="H11" s="29">
        <v>12</v>
      </c>
      <c r="I11" s="29">
        <v>3</v>
      </c>
      <c r="J11" s="29">
        <v>-25.3245</v>
      </c>
      <c r="K11" s="29">
        <v>56.649090000000001</v>
      </c>
      <c r="L11" s="29">
        <v>60.077660000000002</v>
      </c>
      <c r="M11" s="29">
        <v>57.842779999999998</v>
      </c>
      <c r="N11" s="29">
        <v>0</v>
      </c>
      <c r="O11" s="29">
        <v>0.747054</v>
      </c>
      <c r="P11" s="29">
        <v>0</v>
      </c>
      <c r="Q11" s="29">
        <v>287</v>
      </c>
      <c r="R11" s="29" t="s">
        <v>209</v>
      </c>
      <c r="S11" s="29" t="s">
        <v>28</v>
      </c>
      <c r="T11" s="29" t="s">
        <v>279</v>
      </c>
      <c r="U11" s="29" t="s">
        <v>274</v>
      </c>
      <c r="V11" s="29">
        <v>31.561199999999999</v>
      </c>
      <c r="W11" s="29"/>
      <c r="X11" s="29">
        <v>84.499560000000002</v>
      </c>
      <c r="Y11" s="29">
        <v>-5.14534</v>
      </c>
      <c r="Z11" s="29"/>
      <c r="AA11" s="29"/>
      <c r="AB11" s="29"/>
      <c r="AC11" s="29" t="b">
        <v>1</v>
      </c>
    </row>
    <row r="12" spans="1:29" x14ac:dyDescent="0.2">
      <c r="A12" s="29" t="s">
        <v>109</v>
      </c>
      <c r="B12" s="29" t="s">
        <v>94</v>
      </c>
      <c r="C12" s="29" t="s">
        <v>59</v>
      </c>
      <c r="D12" s="29" t="s">
        <v>277</v>
      </c>
      <c r="E12" s="29" t="s">
        <v>276</v>
      </c>
      <c r="F12" s="29" t="b">
        <v>0</v>
      </c>
      <c r="G12" s="29">
        <v>11</v>
      </c>
      <c r="H12" s="29">
        <v>12</v>
      </c>
      <c r="I12" s="29">
        <v>4</v>
      </c>
      <c r="J12" s="29">
        <v>-25.238499999999998</v>
      </c>
      <c r="K12" s="29">
        <v>58.477029999999999</v>
      </c>
      <c r="L12" s="29">
        <v>65.143699999999995</v>
      </c>
      <c r="M12" s="29">
        <v>60.06861</v>
      </c>
      <c r="N12" s="29">
        <v>5.0660360000000004</v>
      </c>
      <c r="O12" s="29">
        <v>5.9330000000000001E-2</v>
      </c>
      <c r="P12" s="29">
        <v>0</v>
      </c>
      <c r="Q12" s="29">
        <v>287</v>
      </c>
      <c r="R12" s="29" t="s">
        <v>209</v>
      </c>
      <c r="S12" s="29" t="s">
        <v>28</v>
      </c>
      <c r="T12" s="29" t="s">
        <v>279</v>
      </c>
      <c r="U12" s="29" t="s">
        <v>274</v>
      </c>
      <c r="V12" s="29">
        <v>2.4000080000000001</v>
      </c>
      <c r="W12" s="29"/>
      <c r="X12" s="29"/>
      <c r="Y12" s="29"/>
      <c r="Z12" s="29">
        <v>3</v>
      </c>
      <c r="AA12" s="29"/>
      <c r="AB12" s="29"/>
      <c r="AC12" s="29" t="b">
        <v>1</v>
      </c>
    </row>
    <row r="13" spans="1:29" x14ac:dyDescent="0.2">
      <c r="A13" s="29" t="s">
        <v>109</v>
      </c>
      <c r="B13" s="29" t="s">
        <v>94</v>
      </c>
      <c r="C13" s="29" t="s">
        <v>59</v>
      </c>
      <c r="D13" s="29" t="s">
        <v>278</v>
      </c>
      <c r="E13" s="29" t="s">
        <v>276</v>
      </c>
      <c r="F13" s="29" t="b">
        <v>0</v>
      </c>
      <c r="G13" s="29">
        <v>11</v>
      </c>
      <c r="H13" s="29">
        <v>12</v>
      </c>
      <c r="I13" s="29">
        <v>5</v>
      </c>
      <c r="J13" s="29">
        <v>-25.3245</v>
      </c>
      <c r="K13" s="29">
        <v>60.649090000000001</v>
      </c>
      <c r="L13" s="29">
        <v>72.649090000000001</v>
      </c>
      <c r="M13" s="29">
        <v>62.638570000000001</v>
      </c>
      <c r="N13" s="29">
        <v>12.571429999999999</v>
      </c>
      <c r="O13" s="29">
        <v>1.392E-3</v>
      </c>
      <c r="P13" s="29">
        <v>0</v>
      </c>
      <c r="Q13" s="29">
        <v>287</v>
      </c>
      <c r="R13" s="29" t="s">
        <v>209</v>
      </c>
      <c r="S13" s="29" t="s">
        <v>28</v>
      </c>
      <c r="T13" s="29" t="s">
        <v>279</v>
      </c>
      <c r="U13" s="29" t="s">
        <v>274</v>
      </c>
      <c r="V13" s="29">
        <v>31.561409999999999</v>
      </c>
      <c r="W13" s="29"/>
      <c r="X13" s="29">
        <v>84.501260000000002</v>
      </c>
      <c r="Y13" s="29">
        <v>-5.1453699999999998</v>
      </c>
      <c r="Z13" s="29"/>
      <c r="AA13" s="29">
        <v>0.99752700000000005</v>
      </c>
      <c r="AB13" s="29">
        <v>9.8299999999999993E-4</v>
      </c>
      <c r="AC13" s="29" t="b">
        <v>1</v>
      </c>
    </row>
    <row r="14" spans="1:29" x14ac:dyDescent="0.2">
      <c r="A14" s="29" t="s">
        <v>45</v>
      </c>
      <c r="B14" s="29" t="s">
        <v>8</v>
      </c>
      <c r="C14" s="29" t="s">
        <v>31</v>
      </c>
      <c r="D14" s="29" t="s">
        <v>146</v>
      </c>
      <c r="E14" s="29" t="s">
        <v>276</v>
      </c>
      <c r="F14" s="29" t="b">
        <v>0</v>
      </c>
      <c r="G14" s="29">
        <v>10</v>
      </c>
      <c r="H14" s="29">
        <v>11</v>
      </c>
      <c r="I14" s="29">
        <v>1</v>
      </c>
      <c r="J14" s="29">
        <v>-22.258400000000002</v>
      </c>
      <c r="K14" s="29">
        <v>46.516829999999999</v>
      </c>
      <c r="L14" s="29">
        <v>47.016829999999999</v>
      </c>
      <c r="M14" s="29">
        <v>46.819409999999998</v>
      </c>
      <c r="N14" s="29">
        <v>1.7956099999999999</v>
      </c>
      <c r="O14" s="29">
        <v>0.2225</v>
      </c>
      <c r="P14" s="29">
        <v>0</v>
      </c>
      <c r="Q14" s="29">
        <v>341</v>
      </c>
      <c r="R14" s="29" t="s">
        <v>209</v>
      </c>
      <c r="S14" s="29" t="s">
        <v>20</v>
      </c>
      <c r="T14" s="29" t="s">
        <v>273</v>
      </c>
      <c r="U14" s="29" t="s">
        <v>280</v>
      </c>
      <c r="V14" s="29">
        <v>7.8488819999999997</v>
      </c>
      <c r="W14" s="29"/>
      <c r="X14" s="29"/>
      <c r="Y14" s="29"/>
      <c r="Z14" s="29"/>
      <c r="AA14" s="29"/>
      <c r="AB14" s="29"/>
      <c r="AC14" s="29" t="b">
        <v>1</v>
      </c>
    </row>
    <row r="15" spans="1:29" x14ac:dyDescent="0.2">
      <c r="A15" s="29" t="s">
        <v>45</v>
      </c>
      <c r="B15" s="29" t="s">
        <v>8</v>
      </c>
      <c r="C15" s="29" t="s">
        <v>31</v>
      </c>
      <c r="D15" s="29" t="s">
        <v>275</v>
      </c>
      <c r="E15" s="29" t="s">
        <v>276</v>
      </c>
      <c r="F15" s="29" t="b">
        <v>0</v>
      </c>
      <c r="G15" s="29">
        <v>10</v>
      </c>
      <c r="H15" s="29">
        <v>11</v>
      </c>
      <c r="I15" s="29">
        <v>2</v>
      </c>
      <c r="J15" s="29">
        <v>-21.936900000000001</v>
      </c>
      <c r="K15" s="29">
        <v>47.873710000000003</v>
      </c>
      <c r="L15" s="29">
        <v>49.587989999999998</v>
      </c>
      <c r="M15" s="29">
        <v>48.478879999999997</v>
      </c>
      <c r="N15" s="29">
        <v>4.3667749999999996</v>
      </c>
      <c r="O15" s="29">
        <v>6.1518999999999997E-2</v>
      </c>
      <c r="P15" s="29">
        <v>0</v>
      </c>
      <c r="Q15" s="29">
        <v>341</v>
      </c>
      <c r="R15" s="29" t="s">
        <v>209</v>
      </c>
      <c r="S15" s="29" t="s">
        <v>20</v>
      </c>
      <c r="T15" s="29" t="s">
        <v>273</v>
      </c>
      <c r="U15" s="29" t="s">
        <v>280</v>
      </c>
      <c r="V15" s="29">
        <v>7.6005079999999996</v>
      </c>
      <c r="W15" s="29">
        <v>-6.4110199999999997</v>
      </c>
      <c r="X15" s="29"/>
      <c r="Y15" s="29"/>
      <c r="Z15" s="29"/>
      <c r="AA15" s="29"/>
      <c r="AB15" s="29"/>
      <c r="AC15" s="29" t="b">
        <v>1</v>
      </c>
    </row>
    <row r="16" spans="1:29" x14ac:dyDescent="0.2">
      <c r="A16" s="29" t="s">
        <v>45</v>
      </c>
      <c r="B16" s="29" t="s">
        <v>8</v>
      </c>
      <c r="C16" s="29" t="s">
        <v>31</v>
      </c>
      <c r="D16" s="29" t="s">
        <v>276</v>
      </c>
      <c r="E16" s="29" t="s">
        <v>276</v>
      </c>
      <c r="F16" s="29" t="b">
        <v>1</v>
      </c>
      <c r="G16" s="29">
        <v>10</v>
      </c>
      <c r="H16" s="29">
        <v>11</v>
      </c>
      <c r="I16" s="29">
        <v>3</v>
      </c>
      <c r="J16" s="29">
        <v>-17.610600000000002</v>
      </c>
      <c r="K16" s="29">
        <v>41.221220000000002</v>
      </c>
      <c r="L16" s="29">
        <v>45.221220000000002</v>
      </c>
      <c r="M16" s="29">
        <v>42.128970000000002</v>
      </c>
      <c r="N16" s="29">
        <v>0</v>
      </c>
      <c r="O16" s="29">
        <v>0.54606200000000005</v>
      </c>
      <c r="P16" s="29">
        <v>0</v>
      </c>
      <c r="Q16" s="29">
        <v>341</v>
      </c>
      <c r="R16" s="29" t="s">
        <v>209</v>
      </c>
      <c r="S16" s="29" t="s">
        <v>20</v>
      </c>
      <c r="T16" s="29" t="s">
        <v>273</v>
      </c>
      <c r="U16" s="29" t="s">
        <v>280</v>
      </c>
      <c r="V16" s="29">
        <v>8.3829750000000001</v>
      </c>
      <c r="W16" s="29"/>
      <c r="X16" s="29">
        <v>15.49573</v>
      </c>
      <c r="Y16" s="29">
        <v>-5.6607900000000004</v>
      </c>
      <c r="Z16" s="29"/>
      <c r="AA16" s="29"/>
      <c r="AB16" s="29"/>
      <c r="AC16" s="29" t="b">
        <v>1</v>
      </c>
    </row>
    <row r="17" spans="1:29" x14ac:dyDescent="0.2">
      <c r="A17" s="29" t="s">
        <v>45</v>
      </c>
      <c r="B17" s="29" t="s">
        <v>8</v>
      </c>
      <c r="C17" s="29" t="s">
        <v>31</v>
      </c>
      <c r="D17" s="29" t="s">
        <v>277</v>
      </c>
      <c r="E17" s="29" t="s">
        <v>276</v>
      </c>
      <c r="F17" s="29" t="b">
        <v>0</v>
      </c>
      <c r="G17" s="29">
        <v>10</v>
      </c>
      <c r="H17" s="29">
        <v>11</v>
      </c>
      <c r="I17" s="29">
        <v>4</v>
      </c>
      <c r="J17" s="29">
        <v>-18.7441</v>
      </c>
      <c r="K17" s="29">
        <v>45.488149999999997</v>
      </c>
      <c r="L17" s="29">
        <v>53.488149999999997</v>
      </c>
      <c r="M17" s="29">
        <v>46.69849</v>
      </c>
      <c r="N17" s="29">
        <v>8.2669390000000007</v>
      </c>
      <c r="O17" s="29">
        <v>8.7519999999999994E-3</v>
      </c>
      <c r="P17" s="29">
        <v>0</v>
      </c>
      <c r="Q17" s="29">
        <v>341</v>
      </c>
      <c r="R17" s="29" t="s">
        <v>209</v>
      </c>
      <c r="S17" s="29" t="s">
        <v>20</v>
      </c>
      <c r="T17" s="29" t="s">
        <v>273</v>
      </c>
      <c r="U17" s="29" t="s">
        <v>280</v>
      </c>
      <c r="V17" s="29">
        <v>1.576913</v>
      </c>
      <c r="W17" s="29"/>
      <c r="X17" s="29"/>
      <c r="Y17" s="29"/>
      <c r="Z17" s="29">
        <v>3</v>
      </c>
      <c r="AA17" s="29"/>
      <c r="AB17" s="29"/>
      <c r="AC17" s="29" t="b">
        <v>1</v>
      </c>
    </row>
    <row r="18" spans="1:29" x14ac:dyDescent="0.2">
      <c r="A18" s="29" t="s">
        <v>45</v>
      </c>
      <c r="B18" s="29" t="s">
        <v>8</v>
      </c>
      <c r="C18" s="29" t="s">
        <v>31</v>
      </c>
      <c r="D18" s="29" t="s">
        <v>278</v>
      </c>
      <c r="E18" s="29" t="s">
        <v>276</v>
      </c>
      <c r="F18" s="29" t="b">
        <v>0</v>
      </c>
      <c r="G18" s="29">
        <v>10</v>
      </c>
      <c r="H18" s="29">
        <v>11</v>
      </c>
      <c r="I18" s="29">
        <v>5</v>
      </c>
      <c r="J18" s="29">
        <v>-11.3309</v>
      </c>
      <c r="K18" s="29">
        <v>32.661799999999999</v>
      </c>
      <c r="L18" s="29">
        <v>47.661799999999999</v>
      </c>
      <c r="M18" s="29">
        <v>34.174720000000001</v>
      </c>
      <c r="N18" s="29">
        <v>2.4405800000000002</v>
      </c>
      <c r="O18" s="29">
        <v>0.161167</v>
      </c>
      <c r="P18" s="29">
        <v>0</v>
      </c>
      <c r="Q18" s="29">
        <v>341</v>
      </c>
      <c r="R18" s="29" t="s">
        <v>209</v>
      </c>
      <c r="S18" s="29" t="s">
        <v>20</v>
      </c>
      <c r="T18" s="29" t="s">
        <v>273</v>
      </c>
      <c r="U18" s="29" t="s">
        <v>280</v>
      </c>
      <c r="V18" s="29">
        <v>0.147952</v>
      </c>
      <c r="W18" s="29"/>
      <c r="X18" s="29">
        <v>6.2988840000000001</v>
      </c>
      <c r="Y18" s="29">
        <v>-6.2695800000000004</v>
      </c>
      <c r="Z18" s="29"/>
      <c r="AA18" s="29">
        <v>0.62237900000000002</v>
      </c>
      <c r="AB18" s="29">
        <v>1.8842509999999999</v>
      </c>
      <c r="AC18" s="29" t="b">
        <v>1</v>
      </c>
    </row>
    <row r="19" spans="1:29" x14ac:dyDescent="0.2">
      <c r="A19" s="29" t="s">
        <v>78</v>
      </c>
      <c r="B19" s="29" t="s">
        <v>8</v>
      </c>
      <c r="C19" s="29" t="s">
        <v>59</v>
      </c>
      <c r="D19" s="29" t="s">
        <v>146</v>
      </c>
      <c r="E19" s="29" t="s">
        <v>278</v>
      </c>
      <c r="F19" s="29" t="b">
        <v>0</v>
      </c>
      <c r="G19" s="29">
        <v>14</v>
      </c>
      <c r="H19" s="29">
        <v>15</v>
      </c>
      <c r="I19" s="29">
        <v>1</v>
      </c>
      <c r="J19" s="29">
        <v>-26.272099999999998</v>
      </c>
      <c r="K19" s="29">
        <v>54.544139999999999</v>
      </c>
      <c r="L19" s="29">
        <v>54.877470000000002</v>
      </c>
      <c r="M19" s="29">
        <v>55.183199999999999</v>
      </c>
      <c r="N19" s="29">
        <v>4.6531000000000003E-2</v>
      </c>
      <c r="O19" s="29">
        <v>0.41560999999999998</v>
      </c>
      <c r="P19" s="29">
        <v>0</v>
      </c>
      <c r="Q19" s="29">
        <v>575</v>
      </c>
      <c r="R19" s="29" t="s">
        <v>209</v>
      </c>
      <c r="S19" s="29" t="s">
        <v>79</v>
      </c>
      <c r="T19" s="29" t="s">
        <v>279</v>
      </c>
      <c r="U19" s="29" t="s">
        <v>274</v>
      </c>
      <c r="V19" s="29">
        <v>5.1286769999999997</v>
      </c>
      <c r="W19" s="29"/>
      <c r="X19" s="29"/>
      <c r="Y19" s="29"/>
      <c r="Z19" s="29"/>
      <c r="AA19" s="29"/>
      <c r="AB19" s="29"/>
      <c r="AC19" s="29" t="b">
        <v>1</v>
      </c>
    </row>
    <row r="20" spans="1:29" x14ac:dyDescent="0.2">
      <c r="A20" s="29" t="s">
        <v>78</v>
      </c>
      <c r="B20" s="29" t="s">
        <v>8</v>
      </c>
      <c r="C20" s="29" t="s">
        <v>59</v>
      </c>
      <c r="D20" s="29" t="s">
        <v>275</v>
      </c>
      <c r="E20" s="29" t="s">
        <v>278</v>
      </c>
      <c r="F20" s="29" t="b">
        <v>0</v>
      </c>
      <c r="G20" s="29">
        <v>14</v>
      </c>
      <c r="H20" s="29">
        <v>15</v>
      </c>
      <c r="I20" s="29">
        <v>2</v>
      </c>
      <c r="J20" s="29">
        <v>-26.241700000000002</v>
      </c>
      <c r="K20" s="29">
        <v>56.48339</v>
      </c>
      <c r="L20" s="29">
        <v>57.574289999999998</v>
      </c>
      <c r="M20" s="29">
        <v>57.761499999999998</v>
      </c>
      <c r="N20" s="29">
        <v>2.74335</v>
      </c>
      <c r="O20" s="29">
        <v>0.107914</v>
      </c>
      <c r="P20" s="29">
        <v>0</v>
      </c>
      <c r="Q20" s="29">
        <v>575</v>
      </c>
      <c r="R20" s="29" t="s">
        <v>209</v>
      </c>
      <c r="S20" s="29" t="s">
        <v>79</v>
      </c>
      <c r="T20" s="29" t="s">
        <v>279</v>
      </c>
      <c r="U20" s="29" t="s">
        <v>274</v>
      </c>
      <c r="V20" s="29">
        <v>5.1175610000000002</v>
      </c>
      <c r="W20" s="29">
        <v>1.006446</v>
      </c>
      <c r="X20" s="29"/>
      <c r="Y20" s="29"/>
      <c r="Z20" s="29"/>
      <c r="AA20" s="29"/>
      <c r="AB20" s="29"/>
      <c r="AC20" s="29" t="b">
        <v>1</v>
      </c>
    </row>
    <row r="21" spans="1:29" x14ac:dyDescent="0.2">
      <c r="A21" s="29" t="s">
        <v>78</v>
      </c>
      <c r="B21" s="29" t="s">
        <v>8</v>
      </c>
      <c r="C21" s="29" t="s">
        <v>59</v>
      </c>
      <c r="D21" s="29" t="s">
        <v>276</v>
      </c>
      <c r="E21" s="29" t="s">
        <v>278</v>
      </c>
      <c r="F21" s="29" t="b">
        <v>0</v>
      </c>
      <c r="G21" s="29">
        <v>14</v>
      </c>
      <c r="H21" s="29">
        <v>15</v>
      </c>
      <c r="I21" s="29">
        <v>3</v>
      </c>
      <c r="J21" s="29">
        <v>-25.711400000000001</v>
      </c>
      <c r="K21" s="29">
        <v>57.422759999999997</v>
      </c>
      <c r="L21" s="29">
        <v>59.822760000000002</v>
      </c>
      <c r="M21" s="29">
        <v>59.339930000000003</v>
      </c>
      <c r="N21" s="29">
        <v>4.9918149999999999</v>
      </c>
      <c r="O21" s="29">
        <v>3.5062000000000003E-2</v>
      </c>
      <c r="P21" s="29">
        <v>0</v>
      </c>
      <c r="Q21" s="29">
        <v>575</v>
      </c>
      <c r="R21" s="29" t="s">
        <v>209</v>
      </c>
      <c r="S21" s="29" t="s">
        <v>79</v>
      </c>
      <c r="T21" s="29" t="s">
        <v>279</v>
      </c>
      <c r="U21" s="29" t="s">
        <v>274</v>
      </c>
      <c r="V21" s="29">
        <v>5.4522300000000001</v>
      </c>
      <c r="W21" s="29"/>
      <c r="X21" s="29">
        <v>1.8886879999999999</v>
      </c>
      <c r="Y21" s="29">
        <v>-4.3422400000000003</v>
      </c>
      <c r="Z21" s="29"/>
      <c r="AA21" s="29"/>
      <c r="AB21" s="29"/>
      <c r="AC21" s="29" t="b">
        <v>1</v>
      </c>
    </row>
    <row r="22" spans="1:29" x14ac:dyDescent="0.2">
      <c r="A22" s="29" t="s">
        <v>78</v>
      </c>
      <c r="B22" s="29" t="s">
        <v>8</v>
      </c>
      <c r="C22" s="29" t="s">
        <v>59</v>
      </c>
      <c r="D22" s="29" t="s">
        <v>277</v>
      </c>
      <c r="E22" s="29" t="s">
        <v>278</v>
      </c>
      <c r="F22" s="29" t="b">
        <v>0</v>
      </c>
      <c r="G22" s="29">
        <v>14</v>
      </c>
      <c r="H22" s="29">
        <v>15</v>
      </c>
      <c r="I22" s="29">
        <v>4</v>
      </c>
      <c r="J22" s="29">
        <v>-24.472300000000001</v>
      </c>
      <c r="K22" s="29">
        <v>56.944560000000003</v>
      </c>
      <c r="L22" s="29">
        <v>61.389009999999999</v>
      </c>
      <c r="M22" s="29">
        <v>59.500790000000002</v>
      </c>
      <c r="N22" s="29">
        <v>6.5580619999999996</v>
      </c>
      <c r="O22" s="29">
        <v>1.6022000000000002E-2</v>
      </c>
      <c r="P22" s="29">
        <v>0</v>
      </c>
      <c r="Q22" s="29">
        <v>575</v>
      </c>
      <c r="R22" s="29" t="s">
        <v>209</v>
      </c>
      <c r="S22" s="29" t="s">
        <v>79</v>
      </c>
      <c r="T22" s="29" t="s">
        <v>279</v>
      </c>
      <c r="U22" s="29" t="s">
        <v>274</v>
      </c>
      <c r="V22" s="29">
        <v>1.389691</v>
      </c>
      <c r="W22" s="29"/>
      <c r="X22" s="29"/>
      <c r="Y22" s="29"/>
      <c r="Z22" s="29">
        <v>3</v>
      </c>
      <c r="AA22" s="29"/>
      <c r="AB22" s="29"/>
      <c r="AC22" s="29" t="b">
        <v>1</v>
      </c>
    </row>
    <row r="23" spans="1:29" x14ac:dyDescent="0.2">
      <c r="A23" s="29" t="s">
        <v>78</v>
      </c>
      <c r="B23" s="29" t="s">
        <v>8</v>
      </c>
      <c r="C23" s="29" t="s">
        <v>59</v>
      </c>
      <c r="D23" s="29" t="s">
        <v>278</v>
      </c>
      <c r="E23" s="29" t="s">
        <v>278</v>
      </c>
      <c r="F23" s="29" t="b">
        <v>1</v>
      </c>
      <c r="G23" s="29">
        <v>14</v>
      </c>
      <c r="H23" s="29">
        <v>15</v>
      </c>
      <c r="I23" s="29">
        <v>5</v>
      </c>
      <c r="J23" s="29">
        <v>-18.665500000000002</v>
      </c>
      <c r="K23" s="29">
        <v>47.330939999999998</v>
      </c>
      <c r="L23" s="29">
        <v>54.830939999999998</v>
      </c>
      <c r="M23" s="29">
        <v>50.526229999999998</v>
      </c>
      <c r="N23" s="29">
        <v>0</v>
      </c>
      <c r="O23" s="29">
        <v>0.42539199999999999</v>
      </c>
      <c r="P23" s="29">
        <v>0</v>
      </c>
      <c r="Q23" s="29">
        <v>575</v>
      </c>
      <c r="R23" s="29" t="s">
        <v>209</v>
      </c>
      <c r="S23" s="29" t="s">
        <v>79</v>
      </c>
      <c r="T23" s="29" t="s">
        <v>279</v>
      </c>
      <c r="U23" s="29" t="s">
        <v>274</v>
      </c>
      <c r="V23" s="29">
        <v>0.92443399999999998</v>
      </c>
      <c r="W23" s="29"/>
      <c r="X23" s="29">
        <v>0.26036799999999999</v>
      </c>
      <c r="Y23" s="29">
        <v>-4.38863</v>
      </c>
      <c r="Z23" s="29"/>
      <c r="AA23" s="29">
        <v>0.39270699999999997</v>
      </c>
      <c r="AB23" s="29">
        <v>2.0032670000000001</v>
      </c>
      <c r="AC23" s="29" t="b">
        <v>1</v>
      </c>
    </row>
    <row r="24" spans="1:29" x14ac:dyDescent="0.2">
      <c r="A24" s="29" t="s">
        <v>19</v>
      </c>
      <c r="B24" s="29" t="s">
        <v>8</v>
      </c>
      <c r="C24" s="29" t="s">
        <v>9</v>
      </c>
      <c r="D24" s="29" t="s">
        <v>146</v>
      </c>
      <c r="E24" s="29" t="s">
        <v>276</v>
      </c>
      <c r="F24" s="29" t="b">
        <v>0</v>
      </c>
      <c r="G24" s="29">
        <v>10</v>
      </c>
      <c r="H24" s="29">
        <v>11</v>
      </c>
      <c r="I24" s="29">
        <v>1</v>
      </c>
      <c r="J24" s="29">
        <v>-23.542200000000001</v>
      </c>
      <c r="K24" s="29">
        <v>49.084389999999999</v>
      </c>
      <c r="L24" s="29">
        <v>49.584389999999999</v>
      </c>
      <c r="M24" s="29">
        <v>49.386969999999998</v>
      </c>
      <c r="N24" s="29">
        <v>7.7505300000000004</v>
      </c>
      <c r="O24" s="29">
        <v>1.6472000000000001E-2</v>
      </c>
      <c r="P24" s="29">
        <v>0</v>
      </c>
      <c r="Q24" s="29">
        <v>679</v>
      </c>
      <c r="R24" s="29" t="s">
        <v>209</v>
      </c>
      <c r="S24" s="29" t="s">
        <v>20</v>
      </c>
      <c r="T24" s="29" t="s">
        <v>273</v>
      </c>
      <c r="U24" s="29" t="s">
        <v>280</v>
      </c>
      <c r="V24" s="29">
        <v>9.1308170000000004</v>
      </c>
      <c r="W24" s="29"/>
      <c r="X24" s="29"/>
      <c r="Y24" s="29"/>
      <c r="Z24" s="29"/>
      <c r="AA24" s="29"/>
      <c r="AB24" s="29"/>
      <c r="AC24" s="29" t="b">
        <v>1</v>
      </c>
    </row>
    <row r="25" spans="1:29" x14ac:dyDescent="0.2">
      <c r="A25" s="29" t="s">
        <v>19</v>
      </c>
      <c r="B25" s="29" t="s">
        <v>8</v>
      </c>
      <c r="C25" s="29" t="s">
        <v>9</v>
      </c>
      <c r="D25" s="29" t="s">
        <v>275</v>
      </c>
      <c r="E25" s="29" t="s">
        <v>276</v>
      </c>
      <c r="F25" s="29" t="b">
        <v>0</v>
      </c>
      <c r="G25" s="29">
        <v>10</v>
      </c>
      <c r="H25" s="29">
        <v>11</v>
      </c>
      <c r="I25" s="29">
        <v>2</v>
      </c>
      <c r="J25" s="29">
        <v>-23.436900000000001</v>
      </c>
      <c r="K25" s="29">
        <v>50.873829999999998</v>
      </c>
      <c r="L25" s="29">
        <v>52.588120000000004</v>
      </c>
      <c r="M25" s="29">
        <v>51.478999999999999</v>
      </c>
      <c r="N25" s="29">
        <v>10.75426</v>
      </c>
      <c r="O25" s="29">
        <v>3.6679999999999998E-3</v>
      </c>
      <c r="P25" s="29">
        <v>0</v>
      </c>
      <c r="Q25" s="29">
        <v>679</v>
      </c>
      <c r="R25" s="29" t="s">
        <v>209</v>
      </c>
      <c r="S25" s="29" t="s">
        <v>20</v>
      </c>
      <c r="T25" s="29" t="s">
        <v>273</v>
      </c>
      <c r="U25" s="29" t="s">
        <v>280</v>
      </c>
      <c r="V25" s="29">
        <v>9.0351949999999999</v>
      </c>
      <c r="W25" s="29">
        <v>-3.0568200000000001</v>
      </c>
      <c r="X25" s="29"/>
      <c r="Y25" s="29"/>
      <c r="Z25" s="29"/>
      <c r="AA25" s="29"/>
      <c r="AB25" s="29"/>
      <c r="AC25" s="29" t="b">
        <v>1</v>
      </c>
    </row>
    <row r="26" spans="1:29" x14ac:dyDescent="0.2">
      <c r="A26" s="29" t="s">
        <v>19</v>
      </c>
      <c r="B26" s="29" t="s">
        <v>8</v>
      </c>
      <c r="C26" s="29" t="s">
        <v>9</v>
      </c>
      <c r="D26" s="29" t="s">
        <v>276</v>
      </c>
      <c r="E26" s="29" t="s">
        <v>276</v>
      </c>
      <c r="F26" s="29" t="b">
        <v>1</v>
      </c>
      <c r="G26" s="29">
        <v>10</v>
      </c>
      <c r="H26" s="29">
        <v>11</v>
      </c>
      <c r="I26" s="29">
        <v>3</v>
      </c>
      <c r="J26" s="29">
        <v>-15.9169</v>
      </c>
      <c r="K26" s="29">
        <v>37.833860000000001</v>
      </c>
      <c r="L26" s="29">
        <v>41.833860000000001</v>
      </c>
      <c r="M26" s="29">
        <v>38.741610000000001</v>
      </c>
      <c r="N26" s="29">
        <v>0</v>
      </c>
      <c r="O26" s="29">
        <v>0.79386000000000001</v>
      </c>
      <c r="P26" s="29">
        <v>0</v>
      </c>
      <c r="Q26" s="29">
        <v>679</v>
      </c>
      <c r="R26" s="29" t="s">
        <v>209</v>
      </c>
      <c r="S26" s="29" t="s">
        <v>20</v>
      </c>
      <c r="T26" s="29" t="s">
        <v>273</v>
      </c>
      <c r="U26" s="29" t="s">
        <v>280</v>
      </c>
      <c r="V26" s="29">
        <v>8.7320170000000008</v>
      </c>
      <c r="W26" s="29"/>
      <c r="X26" s="29">
        <v>20.68441</v>
      </c>
      <c r="Y26" s="29">
        <v>-7.04474</v>
      </c>
      <c r="Z26" s="29"/>
      <c r="AA26" s="29"/>
      <c r="AB26" s="29"/>
      <c r="AC26" s="29" t="b">
        <v>1</v>
      </c>
    </row>
    <row r="27" spans="1:29" x14ac:dyDescent="0.2">
      <c r="A27" s="29" t="s">
        <v>19</v>
      </c>
      <c r="B27" s="29" t="s">
        <v>8</v>
      </c>
      <c r="C27" s="29" t="s">
        <v>9</v>
      </c>
      <c r="D27" s="29" t="s">
        <v>277</v>
      </c>
      <c r="E27" s="29" t="s">
        <v>276</v>
      </c>
      <c r="F27" s="29" t="b">
        <v>0</v>
      </c>
      <c r="G27" s="29">
        <v>10</v>
      </c>
      <c r="H27" s="29">
        <v>11</v>
      </c>
      <c r="I27" s="29">
        <v>4</v>
      </c>
      <c r="J27" s="29">
        <v>-17.517299999999999</v>
      </c>
      <c r="K27" s="29">
        <v>43.034640000000003</v>
      </c>
      <c r="L27" s="29">
        <v>51.034640000000003</v>
      </c>
      <c r="M27" s="29">
        <v>44.244979999999998</v>
      </c>
      <c r="N27" s="29">
        <v>9.200787</v>
      </c>
      <c r="O27" s="29">
        <v>7.9769999999999997E-3</v>
      </c>
      <c r="P27" s="29">
        <v>0</v>
      </c>
      <c r="Q27" s="29">
        <v>679</v>
      </c>
      <c r="R27" s="29" t="s">
        <v>209</v>
      </c>
      <c r="S27" s="29" t="s">
        <v>20</v>
      </c>
      <c r="T27" s="29" t="s">
        <v>273</v>
      </c>
      <c r="U27" s="29" t="s">
        <v>280</v>
      </c>
      <c r="V27" s="29">
        <v>1.3948590000000001</v>
      </c>
      <c r="W27" s="29"/>
      <c r="X27" s="29"/>
      <c r="Y27" s="29"/>
      <c r="Z27" s="29">
        <v>3</v>
      </c>
      <c r="AA27" s="29"/>
      <c r="AB27" s="29"/>
      <c r="AC27" s="29" t="b">
        <v>1</v>
      </c>
    </row>
    <row r="28" spans="1:29" x14ac:dyDescent="0.2">
      <c r="A28" s="29" t="s">
        <v>19</v>
      </c>
      <c r="B28" s="29" t="s">
        <v>8</v>
      </c>
      <c r="C28" s="29" t="s">
        <v>9</v>
      </c>
      <c r="D28" s="29" t="s">
        <v>278</v>
      </c>
      <c r="E28" s="29" t="s">
        <v>276</v>
      </c>
      <c r="F28" s="29" t="b">
        <v>0</v>
      </c>
      <c r="G28" s="29">
        <v>10</v>
      </c>
      <c r="H28" s="29">
        <v>11</v>
      </c>
      <c r="I28" s="29">
        <v>5</v>
      </c>
      <c r="J28" s="29">
        <v>-9.9119200000000003</v>
      </c>
      <c r="K28" s="29">
        <v>29.823840000000001</v>
      </c>
      <c r="L28" s="29">
        <v>44.823839999999997</v>
      </c>
      <c r="M28" s="29">
        <v>31.336770000000001</v>
      </c>
      <c r="N28" s="29">
        <v>2.9899849999999999</v>
      </c>
      <c r="O28" s="29">
        <v>0.17802299999999999</v>
      </c>
      <c r="P28" s="29">
        <v>0</v>
      </c>
      <c r="Q28" s="29">
        <v>679</v>
      </c>
      <c r="R28" s="29" t="s">
        <v>209</v>
      </c>
      <c r="S28" s="29" t="s">
        <v>20</v>
      </c>
      <c r="T28" s="29" t="s">
        <v>273</v>
      </c>
      <c r="U28" s="29" t="s">
        <v>280</v>
      </c>
      <c r="V28" s="29">
        <v>0.123001</v>
      </c>
      <c r="W28" s="29"/>
      <c r="X28" s="29">
        <v>28.07469</v>
      </c>
      <c r="Y28" s="29">
        <v>-6.7899799999999999</v>
      </c>
      <c r="Z28" s="29"/>
      <c r="AA28" s="29">
        <v>0.71545599999999998</v>
      </c>
      <c r="AB28" s="29">
        <v>1.3307990000000001</v>
      </c>
      <c r="AC28" s="29" t="b">
        <v>1</v>
      </c>
    </row>
    <row r="29" spans="1:29" x14ac:dyDescent="0.2">
      <c r="A29" s="29" t="s">
        <v>112</v>
      </c>
      <c r="B29" s="29" t="s">
        <v>94</v>
      </c>
      <c r="C29" s="29" t="s">
        <v>59</v>
      </c>
      <c r="D29" s="29" t="s">
        <v>146</v>
      </c>
      <c r="E29" s="29" t="s">
        <v>278</v>
      </c>
      <c r="F29" s="29" t="b">
        <v>0</v>
      </c>
      <c r="G29" s="29">
        <v>8</v>
      </c>
      <c r="H29" s="29">
        <v>9</v>
      </c>
      <c r="I29" s="29">
        <v>1</v>
      </c>
      <c r="J29" s="29">
        <v>-22.560199999999998</v>
      </c>
      <c r="K29" s="29">
        <v>47.120370000000001</v>
      </c>
      <c r="L29" s="29">
        <v>47.787039999999998</v>
      </c>
      <c r="M29" s="29">
        <v>47.199809999999999</v>
      </c>
      <c r="N29" s="29">
        <v>8.2159949999999995</v>
      </c>
      <c r="O29" s="29">
        <v>1.5994000000000001E-2</v>
      </c>
      <c r="P29" s="29">
        <v>0</v>
      </c>
      <c r="Q29" s="29">
        <v>132</v>
      </c>
      <c r="R29" s="29" t="s">
        <v>209</v>
      </c>
      <c r="S29" s="29" t="s">
        <v>10</v>
      </c>
      <c r="T29" s="29" t="s">
        <v>279</v>
      </c>
      <c r="U29" s="29" t="s">
        <v>274</v>
      </c>
      <c r="V29" s="29">
        <v>20.287400000000002</v>
      </c>
      <c r="W29" s="29"/>
      <c r="X29" s="29"/>
      <c r="Y29" s="29"/>
      <c r="Z29" s="29"/>
      <c r="AA29" s="29"/>
      <c r="AB29" s="29"/>
      <c r="AC29" s="29" t="b">
        <v>1</v>
      </c>
    </row>
    <row r="30" spans="1:29" x14ac:dyDescent="0.2">
      <c r="A30" s="29" t="s">
        <v>112</v>
      </c>
      <c r="B30" s="29" t="s">
        <v>94</v>
      </c>
      <c r="C30" s="29" t="s">
        <v>59</v>
      </c>
      <c r="D30" s="29" t="s">
        <v>275</v>
      </c>
      <c r="E30" s="29" t="s">
        <v>278</v>
      </c>
      <c r="F30" s="29" t="b">
        <v>0</v>
      </c>
      <c r="G30" s="29">
        <v>8</v>
      </c>
      <c r="H30" s="29">
        <v>9</v>
      </c>
      <c r="I30" s="29">
        <v>2</v>
      </c>
      <c r="J30" s="29">
        <v>-22.56</v>
      </c>
      <c r="K30" s="29">
        <v>49.120080000000002</v>
      </c>
      <c r="L30" s="29">
        <v>51.52008</v>
      </c>
      <c r="M30" s="29">
        <v>49.278970000000001</v>
      </c>
      <c r="N30" s="29">
        <v>11.94904</v>
      </c>
      <c r="O30" s="29">
        <v>2.4740000000000001E-3</v>
      </c>
      <c r="P30" s="29">
        <v>0</v>
      </c>
      <c r="Q30" s="29">
        <v>132</v>
      </c>
      <c r="R30" s="29" t="s">
        <v>209</v>
      </c>
      <c r="S30" s="29" t="s">
        <v>10</v>
      </c>
      <c r="T30" s="29" t="s">
        <v>279</v>
      </c>
      <c r="U30" s="29" t="s">
        <v>274</v>
      </c>
      <c r="V30" s="29">
        <v>20.287040000000001</v>
      </c>
      <c r="W30" s="29">
        <v>-0.57448999999999995</v>
      </c>
      <c r="X30" s="29"/>
      <c r="Y30" s="29"/>
      <c r="Z30" s="29"/>
      <c r="AA30" s="29"/>
      <c r="AB30" s="29"/>
      <c r="AC30" s="29" t="b">
        <v>1</v>
      </c>
    </row>
    <row r="31" spans="1:29" x14ac:dyDescent="0.2">
      <c r="A31" s="29" t="s">
        <v>112</v>
      </c>
      <c r="B31" s="29" t="s">
        <v>94</v>
      </c>
      <c r="C31" s="29" t="s">
        <v>59</v>
      </c>
      <c r="D31" s="29" t="s">
        <v>276</v>
      </c>
      <c r="E31" s="29" t="s">
        <v>278</v>
      </c>
      <c r="F31" s="29" t="b">
        <v>0</v>
      </c>
      <c r="G31" s="29">
        <v>8</v>
      </c>
      <c r="H31" s="29">
        <v>9</v>
      </c>
      <c r="I31" s="29">
        <v>3</v>
      </c>
      <c r="J31" s="29">
        <v>-18.537800000000001</v>
      </c>
      <c r="K31" s="29">
        <v>43.075650000000003</v>
      </c>
      <c r="L31" s="29">
        <v>49.075650000000003</v>
      </c>
      <c r="M31" s="29">
        <v>43.313969999999998</v>
      </c>
      <c r="N31" s="29">
        <v>9.5046009999999992</v>
      </c>
      <c r="O31" s="29">
        <v>8.397E-3</v>
      </c>
      <c r="P31" s="29">
        <v>0</v>
      </c>
      <c r="Q31" s="29">
        <v>132</v>
      </c>
      <c r="R31" s="29" t="s">
        <v>209</v>
      </c>
      <c r="S31" s="29" t="s">
        <v>10</v>
      </c>
      <c r="T31" s="29" t="s">
        <v>279</v>
      </c>
      <c r="U31" s="29" t="s">
        <v>274</v>
      </c>
      <c r="V31" s="29">
        <v>69.746219999999994</v>
      </c>
      <c r="W31" s="29"/>
      <c r="X31" s="29">
        <v>403.42880000000002</v>
      </c>
      <c r="Y31" s="29">
        <v>-4.4754199999999997</v>
      </c>
      <c r="Z31" s="29"/>
      <c r="AA31" s="29"/>
      <c r="AB31" s="29"/>
      <c r="AC31" s="29" t="b">
        <v>1</v>
      </c>
    </row>
    <row r="32" spans="1:29" x14ac:dyDescent="0.2">
      <c r="A32" s="29" t="s">
        <v>112</v>
      </c>
      <c r="B32" s="29" t="s">
        <v>94</v>
      </c>
      <c r="C32" s="29" t="s">
        <v>59</v>
      </c>
      <c r="D32" s="29" t="s">
        <v>277</v>
      </c>
      <c r="E32" s="29" t="s">
        <v>278</v>
      </c>
      <c r="F32" s="29" t="b">
        <v>0</v>
      </c>
      <c r="G32" s="29">
        <v>8</v>
      </c>
      <c r="H32" s="29">
        <v>9</v>
      </c>
      <c r="I32" s="29">
        <v>4</v>
      </c>
      <c r="J32" s="29">
        <v>-17.2059</v>
      </c>
      <c r="K32" s="29">
        <v>42.411850000000001</v>
      </c>
      <c r="L32" s="29">
        <v>55.745179999999998</v>
      </c>
      <c r="M32" s="29">
        <v>42.729619999999997</v>
      </c>
      <c r="N32" s="29">
        <v>16.174140000000001</v>
      </c>
      <c r="O32" s="29">
        <v>2.99E-4</v>
      </c>
      <c r="P32" s="29">
        <v>0</v>
      </c>
      <c r="Q32" s="29">
        <v>132</v>
      </c>
      <c r="R32" s="29" t="s">
        <v>209</v>
      </c>
      <c r="S32" s="29" t="s">
        <v>10</v>
      </c>
      <c r="T32" s="29" t="s">
        <v>279</v>
      </c>
      <c r="U32" s="29" t="s">
        <v>274</v>
      </c>
      <c r="V32" s="29">
        <v>2.078824</v>
      </c>
      <c r="W32" s="29"/>
      <c r="X32" s="29"/>
      <c r="Y32" s="29"/>
      <c r="Z32" s="29">
        <v>3</v>
      </c>
      <c r="AA32" s="29"/>
      <c r="AB32" s="29"/>
      <c r="AC32" s="29" t="b">
        <v>1</v>
      </c>
    </row>
    <row r="33" spans="1:29" x14ac:dyDescent="0.2">
      <c r="A33" s="29" t="s">
        <v>112</v>
      </c>
      <c r="B33" s="29" t="s">
        <v>94</v>
      </c>
      <c r="C33" s="29" t="s">
        <v>59</v>
      </c>
      <c r="D33" s="29" t="s">
        <v>278</v>
      </c>
      <c r="E33" s="29" t="s">
        <v>278</v>
      </c>
      <c r="F33" s="29" t="b">
        <v>1</v>
      </c>
      <c r="G33" s="29">
        <v>8</v>
      </c>
      <c r="H33" s="29">
        <v>9</v>
      </c>
      <c r="I33" s="29">
        <v>5</v>
      </c>
      <c r="J33" s="29">
        <v>0.214478</v>
      </c>
      <c r="K33" s="29">
        <v>9.5710440000000006</v>
      </c>
      <c r="L33" s="29">
        <v>39.571040000000004</v>
      </c>
      <c r="M33" s="29">
        <v>9.9682519999999997</v>
      </c>
      <c r="N33" s="29">
        <v>0</v>
      </c>
      <c r="O33" s="29">
        <v>0.97283600000000003</v>
      </c>
      <c r="P33" s="29">
        <v>0</v>
      </c>
      <c r="Q33" s="29">
        <v>132</v>
      </c>
      <c r="R33" s="29" t="s">
        <v>209</v>
      </c>
      <c r="S33" s="29" t="s">
        <v>10</v>
      </c>
      <c r="T33" s="29" t="s">
        <v>279</v>
      </c>
      <c r="U33" s="29" t="s">
        <v>274</v>
      </c>
      <c r="V33" s="30">
        <v>4.5399999999999999E-5</v>
      </c>
      <c r="W33" s="29"/>
      <c r="X33" s="29">
        <v>9.4780979999999992</v>
      </c>
      <c r="Y33" s="29">
        <v>-1.69886</v>
      </c>
      <c r="Z33" s="29"/>
      <c r="AA33" s="29">
        <v>0.750004</v>
      </c>
      <c r="AB33" s="29">
        <v>3.7692679999999998</v>
      </c>
      <c r="AC33" s="29" t="b">
        <v>1</v>
      </c>
    </row>
    <row r="34" spans="1:29" x14ac:dyDescent="0.2">
      <c r="A34" s="29" t="s">
        <v>133</v>
      </c>
      <c r="B34" s="29" t="s">
        <v>94</v>
      </c>
      <c r="C34" s="29" t="s">
        <v>122</v>
      </c>
      <c r="D34" s="29" t="s">
        <v>146</v>
      </c>
      <c r="E34" s="29" t="s">
        <v>146</v>
      </c>
      <c r="F34" s="29" t="b">
        <v>1</v>
      </c>
      <c r="G34" s="29">
        <v>8</v>
      </c>
      <c r="H34" s="29">
        <v>9</v>
      </c>
      <c r="I34" s="29">
        <v>1</v>
      </c>
      <c r="J34" s="29">
        <v>-19.851299999999998</v>
      </c>
      <c r="K34" s="29">
        <v>41.702570000000001</v>
      </c>
      <c r="L34" s="29">
        <v>42.369230000000002</v>
      </c>
      <c r="M34" s="29">
        <v>41.78201</v>
      </c>
      <c r="N34" s="29">
        <v>0</v>
      </c>
      <c r="O34" s="29">
        <v>0.76005199999999995</v>
      </c>
      <c r="P34" s="29">
        <v>0</v>
      </c>
      <c r="Q34" s="29">
        <v>517</v>
      </c>
      <c r="R34" s="29" t="s">
        <v>209</v>
      </c>
      <c r="S34" s="29" t="s">
        <v>134</v>
      </c>
      <c r="T34" s="29" t="s">
        <v>279</v>
      </c>
      <c r="U34" s="29" t="s">
        <v>274</v>
      </c>
      <c r="V34" s="29">
        <v>8.5184630000000006</v>
      </c>
      <c r="W34" s="29"/>
      <c r="X34" s="29"/>
      <c r="Y34" s="29"/>
      <c r="Z34" s="29"/>
      <c r="AA34" s="29"/>
      <c r="AB34" s="29"/>
      <c r="AC34" s="29" t="b">
        <v>1</v>
      </c>
    </row>
    <row r="35" spans="1:29" x14ac:dyDescent="0.2">
      <c r="A35" s="29" t="s">
        <v>133</v>
      </c>
      <c r="B35" s="29" t="s">
        <v>94</v>
      </c>
      <c r="C35" s="29" t="s">
        <v>122</v>
      </c>
      <c r="D35" s="29" t="s">
        <v>275</v>
      </c>
      <c r="E35" s="29" t="s">
        <v>146</v>
      </c>
      <c r="F35" s="29" t="b">
        <v>0</v>
      </c>
      <c r="G35" s="29">
        <v>8</v>
      </c>
      <c r="H35" s="29">
        <v>9</v>
      </c>
      <c r="I35" s="29">
        <v>2</v>
      </c>
      <c r="J35" s="29">
        <v>-19.6906</v>
      </c>
      <c r="K35" s="29">
        <v>43.381219999999999</v>
      </c>
      <c r="L35" s="29">
        <v>45.781219999999998</v>
      </c>
      <c r="M35" s="29">
        <v>43.540100000000002</v>
      </c>
      <c r="N35" s="29">
        <v>3.4119830000000002</v>
      </c>
      <c r="O35" s="29">
        <v>0.13802</v>
      </c>
      <c r="P35" s="29">
        <v>0</v>
      </c>
      <c r="Q35" s="29">
        <v>517</v>
      </c>
      <c r="R35" s="29" t="s">
        <v>209</v>
      </c>
      <c r="S35" s="29" t="s">
        <v>134</v>
      </c>
      <c r="T35" s="29" t="s">
        <v>279</v>
      </c>
      <c r="U35" s="29" t="s">
        <v>274</v>
      </c>
      <c r="V35" s="29">
        <v>8.349081</v>
      </c>
      <c r="W35" s="29">
        <v>-4.0184100000000003</v>
      </c>
      <c r="X35" s="29"/>
      <c r="Y35" s="29"/>
      <c r="Z35" s="29"/>
      <c r="AA35" s="29"/>
      <c r="AB35" s="29"/>
      <c r="AC35" s="29" t="b">
        <v>1</v>
      </c>
    </row>
    <row r="36" spans="1:29" x14ac:dyDescent="0.2">
      <c r="A36" s="29" t="s">
        <v>133</v>
      </c>
      <c r="B36" s="29" t="s">
        <v>94</v>
      </c>
      <c r="C36" s="29" t="s">
        <v>122</v>
      </c>
      <c r="D36" s="29" t="s">
        <v>276</v>
      </c>
      <c r="E36" s="29" t="s">
        <v>146</v>
      </c>
      <c r="F36" s="29" t="b">
        <v>0</v>
      </c>
      <c r="G36" s="29">
        <v>8</v>
      </c>
      <c r="H36" s="29">
        <v>9</v>
      </c>
      <c r="I36" s="29">
        <v>3</v>
      </c>
      <c r="J36" s="29">
        <v>-17.1983</v>
      </c>
      <c r="K36" s="29">
        <v>40.396610000000003</v>
      </c>
      <c r="L36" s="29">
        <v>46.396610000000003</v>
      </c>
      <c r="M36" s="29">
        <v>40.634929999999997</v>
      </c>
      <c r="N36" s="29">
        <v>4.0273760000000003</v>
      </c>
      <c r="O36" s="29">
        <v>0.101463</v>
      </c>
      <c r="P36" s="29">
        <v>0</v>
      </c>
      <c r="Q36" s="29">
        <v>517</v>
      </c>
      <c r="R36" s="29" t="s">
        <v>209</v>
      </c>
      <c r="S36" s="29" t="s">
        <v>134</v>
      </c>
      <c r="T36" s="29" t="s">
        <v>279</v>
      </c>
      <c r="U36" s="29" t="s">
        <v>274</v>
      </c>
      <c r="V36" s="29">
        <v>10.71576</v>
      </c>
      <c r="W36" s="29"/>
      <c r="X36" s="29">
        <v>11.204829999999999</v>
      </c>
      <c r="Y36" s="29">
        <v>-5.5879899999999996</v>
      </c>
      <c r="Z36" s="29"/>
      <c r="AA36" s="29"/>
      <c r="AB36" s="29"/>
      <c r="AC36" s="29" t="b">
        <v>1</v>
      </c>
    </row>
    <row r="37" spans="1:29" x14ac:dyDescent="0.2">
      <c r="A37" s="29" t="s">
        <v>133</v>
      </c>
      <c r="B37" s="29" t="s">
        <v>94</v>
      </c>
      <c r="C37" s="29" t="s">
        <v>122</v>
      </c>
      <c r="D37" s="29" t="s">
        <v>277</v>
      </c>
      <c r="E37" s="29" t="s">
        <v>146</v>
      </c>
      <c r="F37" s="29" t="b">
        <v>0</v>
      </c>
      <c r="G37" s="29">
        <v>8</v>
      </c>
      <c r="H37" s="29">
        <v>9</v>
      </c>
      <c r="I37" s="29">
        <v>4</v>
      </c>
      <c r="J37" s="29">
        <v>-17.916799999999999</v>
      </c>
      <c r="K37" s="29">
        <v>43.833559999999999</v>
      </c>
      <c r="L37" s="29">
        <v>57.166890000000002</v>
      </c>
      <c r="M37" s="29">
        <v>44.151319999999998</v>
      </c>
      <c r="N37" s="29">
        <v>14.79766</v>
      </c>
      <c r="O37" s="29">
        <v>4.6500000000000003E-4</v>
      </c>
      <c r="P37" s="29">
        <v>0</v>
      </c>
      <c r="Q37" s="29">
        <v>517</v>
      </c>
      <c r="R37" s="29" t="s">
        <v>209</v>
      </c>
      <c r="S37" s="29" t="s">
        <v>134</v>
      </c>
      <c r="T37" s="29" t="s">
        <v>279</v>
      </c>
      <c r="U37" s="29" t="s">
        <v>274</v>
      </c>
      <c r="V37" s="29">
        <v>2.2719960000000001</v>
      </c>
      <c r="W37" s="29"/>
      <c r="X37" s="29"/>
      <c r="Y37" s="29"/>
      <c r="Z37" s="29">
        <v>3</v>
      </c>
      <c r="AA37" s="29"/>
      <c r="AB37" s="29"/>
      <c r="AC37" s="29" t="b">
        <v>1</v>
      </c>
    </row>
    <row r="38" spans="1:29" x14ac:dyDescent="0.2">
      <c r="A38" s="29" t="s">
        <v>133</v>
      </c>
      <c r="B38" s="29" t="s">
        <v>94</v>
      </c>
      <c r="C38" s="29" t="s">
        <v>122</v>
      </c>
      <c r="D38" s="29" t="s">
        <v>278</v>
      </c>
      <c r="E38" s="29" t="s">
        <v>146</v>
      </c>
      <c r="F38" s="29" t="b">
        <v>0</v>
      </c>
      <c r="G38" s="29">
        <v>8</v>
      </c>
      <c r="H38" s="29">
        <v>9</v>
      </c>
      <c r="I38" s="29">
        <v>5</v>
      </c>
      <c r="J38" s="29">
        <v>-17.1983</v>
      </c>
      <c r="K38" s="29">
        <v>44.396610000000003</v>
      </c>
      <c r="L38" s="29">
        <v>74.396609999999995</v>
      </c>
      <c r="M38" s="29">
        <v>44.793819999999997</v>
      </c>
      <c r="N38" s="29">
        <v>32.027380000000001</v>
      </c>
      <c r="O38" s="30">
        <v>8.4400000000000001E-8</v>
      </c>
      <c r="P38" s="29">
        <v>0</v>
      </c>
      <c r="Q38" s="29">
        <v>517</v>
      </c>
      <c r="R38" s="29" t="s">
        <v>209</v>
      </c>
      <c r="S38" s="29" t="s">
        <v>134</v>
      </c>
      <c r="T38" s="29" t="s">
        <v>279</v>
      </c>
      <c r="U38" s="29" t="s">
        <v>274</v>
      </c>
      <c r="V38" s="29">
        <v>10.7158</v>
      </c>
      <c r="W38" s="29"/>
      <c r="X38" s="29">
        <v>11.204879999999999</v>
      </c>
      <c r="Y38" s="29">
        <v>-5.5880000000000001</v>
      </c>
      <c r="Z38" s="29"/>
      <c r="AA38" s="29">
        <v>0.34259899999999999</v>
      </c>
      <c r="AB38" s="29">
        <v>1.503E-3</v>
      </c>
      <c r="AC38" s="29" t="b">
        <v>1</v>
      </c>
    </row>
    <row r="39" spans="1:29" x14ac:dyDescent="0.2">
      <c r="A39" s="29" t="s">
        <v>50</v>
      </c>
      <c r="B39" s="29" t="s">
        <v>8</v>
      </c>
      <c r="C39" s="29" t="s">
        <v>51</v>
      </c>
      <c r="D39" s="29" t="s">
        <v>146</v>
      </c>
      <c r="E39" s="29" t="s">
        <v>278</v>
      </c>
      <c r="F39" s="29" t="b">
        <v>0</v>
      </c>
      <c r="G39" s="29">
        <v>12</v>
      </c>
      <c r="H39" s="29">
        <v>13</v>
      </c>
      <c r="I39" s="29">
        <v>1</v>
      </c>
      <c r="J39" s="29">
        <v>-22.4483</v>
      </c>
      <c r="K39" s="29">
        <v>46.896599999999999</v>
      </c>
      <c r="L39" s="29">
        <v>47.296599999999998</v>
      </c>
      <c r="M39" s="29">
        <v>47.381500000000003</v>
      </c>
      <c r="N39" s="29">
        <v>19.034700000000001</v>
      </c>
      <c r="O39" s="30">
        <v>7.36E-5</v>
      </c>
      <c r="P39" s="29">
        <v>0</v>
      </c>
      <c r="Q39" s="29">
        <v>247</v>
      </c>
      <c r="R39" s="29" t="s">
        <v>209</v>
      </c>
      <c r="S39" s="29" t="s">
        <v>14</v>
      </c>
      <c r="T39" s="29" t="s">
        <v>273</v>
      </c>
      <c r="U39" s="29" t="s">
        <v>274</v>
      </c>
      <c r="V39" s="29">
        <v>7.0051649999999999</v>
      </c>
      <c r="W39" s="29"/>
      <c r="X39" s="29"/>
      <c r="Y39" s="29"/>
      <c r="Z39" s="29"/>
      <c r="AA39" s="29"/>
      <c r="AB39" s="29"/>
      <c r="AC39" s="29" t="b">
        <v>1</v>
      </c>
    </row>
    <row r="40" spans="1:29" x14ac:dyDescent="0.2">
      <c r="A40" s="29" t="s">
        <v>50</v>
      </c>
      <c r="B40" s="29" t="s">
        <v>8</v>
      </c>
      <c r="C40" s="29" t="s">
        <v>51</v>
      </c>
      <c r="D40" s="29" t="s">
        <v>275</v>
      </c>
      <c r="E40" s="29" t="s">
        <v>278</v>
      </c>
      <c r="F40" s="29" t="b">
        <v>0</v>
      </c>
      <c r="G40" s="29">
        <v>12</v>
      </c>
      <c r="H40" s="29">
        <v>13</v>
      </c>
      <c r="I40" s="29">
        <v>2</v>
      </c>
      <c r="J40" s="29">
        <v>-22.4053</v>
      </c>
      <c r="K40" s="29">
        <v>48.810589999999998</v>
      </c>
      <c r="L40" s="29">
        <v>50.143929999999997</v>
      </c>
      <c r="M40" s="29">
        <v>49.780410000000003</v>
      </c>
      <c r="N40" s="29">
        <v>21.88204</v>
      </c>
      <c r="O40" s="30">
        <v>1.77E-5</v>
      </c>
      <c r="P40" s="29">
        <v>0</v>
      </c>
      <c r="Q40" s="29">
        <v>247</v>
      </c>
      <c r="R40" s="29" t="s">
        <v>209</v>
      </c>
      <c r="S40" s="29" t="s">
        <v>14</v>
      </c>
      <c r="T40" s="29" t="s">
        <v>273</v>
      </c>
      <c r="U40" s="29" t="s">
        <v>274</v>
      </c>
      <c r="V40" s="29">
        <v>6.9801080000000004</v>
      </c>
      <c r="W40" s="29">
        <v>2.4936850000000002</v>
      </c>
      <c r="X40" s="29"/>
      <c r="Y40" s="29"/>
      <c r="Z40" s="29"/>
      <c r="AA40" s="29"/>
      <c r="AB40" s="29"/>
      <c r="AC40" s="29" t="b">
        <v>1</v>
      </c>
    </row>
    <row r="41" spans="1:29" x14ac:dyDescent="0.2">
      <c r="A41" s="29" t="s">
        <v>50</v>
      </c>
      <c r="B41" s="29" t="s">
        <v>8</v>
      </c>
      <c r="C41" s="29" t="s">
        <v>51</v>
      </c>
      <c r="D41" s="29" t="s">
        <v>276</v>
      </c>
      <c r="E41" s="29" t="s">
        <v>278</v>
      </c>
      <c r="F41" s="29" t="b">
        <v>0</v>
      </c>
      <c r="G41" s="29">
        <v>12</v>
      </c>
      <c r="H41" s="29">
        <v>13</v>
      </c>
      <c r="I41" s="29">
        <v>3</v>
      </c>
      <c r="J41" s="29">
        <v>-21.405000000000001</v>
      </c>
      <c r="K41" s="29">
        <v>48.810079999999999</v>
      </c>
      <c r="L41" s="29">
        <v>51.810079999999999</v>
      </c>
      <c r="M41" s="29">
        <v>50.264800000000001</v>
      </c>
      <c r="N41" s="29">
        <v>23.548190000000002</v>
      </c>
      <c r="O41" s="30">
        <v>7.7000000000000008E-6</v>
      </c>
      <c r="P41" s="29">
        <v>0</v>
      </c>
      <c r="Q41" s="29">
        <v>247</v>
      </c>
      <c r="R41" s="29" t="s">
        <v>209</v>
      </c>
      <c r="S41" s="29" t="s">
        <v>14</v>
      </c>
      <c r="T41" s="29" t="s">
        <v>273</v>
      </c>
      <c r="U41" s="29" t="s">
        <v>274</v>
      </c>
      <c r="V41" s="29">
        <v>8.0545059999999999</v>
      </c>
      <c r="W41" s="29"/>
      <c r="X41" s="29">
        <v>8.9339250000000003</v>
      </c>
      <c r="Y41" s="29">
        <v>-3.1159400000000002</v>
      </c>
      <c r="Z41" s="29"/>
      <c r="AA41" s="29"/>
      <c r="AB41" s="29"/>
      <c r="AC41" s="29" t="b">
        <v>1</v>
      </c>
    </row>
    <row r="42" spans="1:29" x14ac:dyDescent="0.2">
      <c r="A42" s="29" t="s">
        <v>50</v>
      </c>
      <c r="B42" s="29" t="s">
        <v>8</v>
      </c>
      <c r="C42" s="29" t="s">
        <v>51</v>
      </c>
      <c r="D42" s="29" t="s">
        <v>277</v>
      </c>
      <c r="E42" s="29" t="s">
        <v>278</v>
      </c>
      <c r="F42" s="29" t="b">
        <v>0</v>
      </c>
      <c r="G42" s="29">
        <v>12</v>
      </c>
      <c r="H42" s="29">
        <v>13</v>
      </c>
      <c r="I42" s="29">
        <v>3</v>
      </c>
      <c r="J42" s="29">
        <v>-23.6525</v>
      </c>
      <c r="K42" s="29">
        <v>53.305010000000003</v>
      </c>
      <c r="L42" s="29">
        <v>56.305010000000003</v>
      </c>
      <c r="M42" s="29">
        <v>54.759729999999998</v>
      </c>
      <c r="N42" s="29">
        <v>28.043119999999998</v>
      </c>
      <c r="O42" s="30">
        <v>8.1399999999999996E-7</v>
      </c>
      <c r="P42" s="29">
        <v>0</v>
      </c>
      <c r="Q42" s="29">
        <v>247</v>
      </c>
      <c r="R42" s="29" t="s">
        <v>209</v>
      </c>
      <c r="S42" s="29" t="s">
        <v>14</v>
      </c>
      <c r="T42" s="29" t="s">
        <v>273</v>
      </c>
      <c r="U42" s="29" t="s">
        <v>274</v>
      </c>
      <c r="V42" s="29">
        <v>1.7369030000000001</v>
      </c>
      <c r="W42" s="29"/>
      <c r="X42" s="29"/>
      <c r="Y42" s="29"/>
      <c r="Z42" s="29">
        <v>2</v>
      </c>
      <c r="AA42" s="29"/>
      <c r="AB42" s="29"/>
      <c r="AC42" s="29" t="b">
        <v>1</v>
      </c>
    </row>
    <row r="43" spans="1:29" x14ac:dyDescent="0.2">
      <c r="A43" s="29" t="s">
        <v>50</v>
      </c>
      <c r="B43" s="29" t="s">
        <v>8</v>
      </c>
      <c r="C43" s="29" t="s">
        <v>51</v>
      </c>
      <c r="D43" s="29" t="s">
        <v>278</v>
      </c>
      <c r="E43" s="29" t="s">
        <v>278</v>
      </c>
      <c r="F43" s="29" t="b">
        <v>1</v>
      </c>
      <c r="G43" s="29">
        <v>12</v>
      </c>
      <c r="H43" s="29">
        <v>13</v>
      </c>
      <c r="I43" s="29">
        <v>5</v>
      </c>
      <c r="J43" s="29">
        <v>-4.1309500000000003</v>
      </c>
      <c r="K43" s="29">
        <v>18.261890000000001</v>
      </c>
      <c r="L43" s="29">
        <v>28.261890000000001</v>
      </c>
      <c r="M43" s="29">
        <v>20.686419999999998</v>
      </c>
      <c r="N43" s="29">
        <v>0</v>
      </c>
      <c r="O43" s="29">
        <v>0.99990000000000001</v>
      </c>
      <c r="P43" s="29">
        <v>0</v>
      </c>
      <c r="Q43" s="29">
        <v>247</v>
      </c>
      <c r="R43" s="29" t="s">
        <v>209</v>
      </c>
      <c r="S43" s="29" t="s">
        <v>14</v>
      </c>
      <c r="T43" s="29" t="s">
        <v>273</v>
      </c>
      <c r="U43" s="29" t="s">
        <v>274</v>
      </c>
      <c r="V43" s="30">
        <v>4.5399999999999999E-5</v>
      </c>
      <c r="W43" s="29"/>
      <c r="X43" s="29">
        <v>1.4728289999999999</v>
      </c>
      <c r="Y43" s="29">
        <v>-3.30789</v>
      </c>
      <c r="Z43" s="29"/>
      <c r="AA43" s="29">
        <v>0.83333900000000005</v>
      </c>
      <c r="AB43" s="29">
        <v>1.7270129999999999</v>
      </c>
      <c r="AC43" s="29" t="b">
        <v>1</v>
      </c>
    </row>
    <row r="44" spans="1:29" x14ac:dyDescent="0.2">
      <c r="A44" s="29" t="s">
        <v>24</v>
      </c>
      <c r="B44" s="29" t="s">
        <v>8</v>
      </c>
      <c r="C44" s="29" t="s">
        <v>9</v>
      </c>
      <c r="D44" s="29" t="s">
        <v>146</v>
      </c>
      <c r="E44" s="29" t="s">
        <v>276</v>
      </c>
      <c r="F44" s="29" t="b">
        <v>0</v>
      </c>
      <c r="G44" s="29">
        <v>7</v>
      </c>
      <c r="H44" s="29">
        <v>8</v>
      </c>
      <c r="I44" s="29">
        <v>1</v>
      </c>
      <c r="J44" s="29">
        <v>-19.801500000000001</v>
      </c>
      <c r="K44" s="29">
        <v>41.602899999999998</v>
      </c>
      <c r="L44" s="29">
        <v>42.402900000000002</v>
      </c>
      <c r="M44" s="29">
        <v>41.548810000000003</v>
      </c>
      <c r="N44" s="29">
        <v>2.289053</v>
      </c>
      <c r="O44" s="29">
        <v>0.233871</v>
      </c>
      <c r="P44" s="29">
        <v>0</v>
      </c>
      <c r="Q44" s="29">
        <v>736</v>
      </c>
      <c r="R44" s="29" t="s">
        <v>209</v>
      </c>
      <c r="S44" s="29" t="s">
        <v>10</v>
      </c>
      <c r="T44" s="29" t="s">
        <v>273</v>
      </c>
      <c r="U44" s="29" t="s">
        <v>280</v>
      </c>
      <c r="V44" s="29">
        <v>9.7433610000000002</v>
      </c>
      <c r="W44" s="29"/>
      <c r="X44" s="29"/>
      <c r="Y44" s="29"/>
      <c r="Z44" s="29"/>
      <c r="AA44" s="29"/>
      <c r="AB44" s="29"/>
      <c r="AC44" s="29" t="b">
        <v>1</v>
      </c>
    </row>
    <row r="45" spans="1:29" x14ac:dyDescent="0.2">
      <c r="A45" s="29" t="s">
        <v>24</v>
      </c>
      <c r="B45" s="29" t="s">
        <v>8</v>
      </c>
      <c r="C45" s="29" t="s">
        <v>9</v>
      </c>
      <c r="D45" s="29" t="s">
        <v>275</v>
      </c>
      <c r="E45" s="29" t="s">
        <v>276</v>
      </c>
      <c r="F45" s="29" t="b">
        <v>0</v>
      </c>
      <c r="G45" s="29">
        <v>7</v>
      </c>
      <c r="H45" s="29">
        <v>8</v>
      </c>
      <c r="I45" s="29">
        <v>2</v>
      </c>
      <c r="J45" s="29">
        <v>-19.7255</v>
      </c>
      <c r="K45" s="29">
        <v>43.451059999999998</v>
      </c>
      <c r="L45" s="29">
        <v>46.451059999999998</v>
      </c>
      <c r="M45" s="29">
        <v>43.342880000000001</v>
      </c>
      <c r="N45" s="29">
        <v>6.3372080000000004</v>
      </c>
      <c r="O45" s="29">
        <v>3.0897999999999998E-2</v>
      </c>
      <c r="P45" s="29">
        <v>0</v>
      </c>
      <c r="Q45" s="29">
        <v>736</v>
      </c>
      <c r="R45" s="29" t="s">
        <v>209</v>
      </c>
      <c r="S45" s="29" t="s">
        <v>10</v>
      </c>
      <c r="T45" s="29" t="s">
        <v>273</v>
      </c>
      <c r="U45" s="29" t="s">
        <v>280</v>
      </c>
      <c r="V45" s="29">
        <v>9.6382549999999991</v>
      </c>
      <c r="W45" s="29">
        <v>-2.6602000000000001</v>
      </c>
      <c r="X45" s="29"/>
      <c r="Y45" s="29"/>
      <c r="Z45" s="29"/>
      <c r="AA45" s="29"/>
      <c r="AB45" s="29"/>
      <c r="AC45" s="29" t="b">
        <v>1</v>
      </c>
    </row>
    <row r="46" spans="1:29" x14ac:dyDescent="0.2">
      <c r="A46" s="29" t="s">
        <v>24</v>
      </c>
      <c r="B46" s="29" t="s">
        <v>8</v>
      </c>
      <c r="C46" s="29" t="s">
        <v>9</v>
      </c>
      <c r="D46" s="29" t="s">
        <v>276</v>
      </c>
      <c r="E46" s="29" t="s">
        <v>276</v>
      </c>
      <c r="F46" s="29" t="b">
        <v>1</v>
      </c>
      <c r="G46" s="29">
        <v>7</v>
      </c>
      <c r="H46" s="29">
        <v>8</v>
      </c>
      <c r="I46" s="29">
        <v>3</v>
      </c>
      <c r="J46" s="29">
        <v>-13.056900000000001</v>
      </c>
      <c r="K46" s="29">
        <v>32.113849999999999</v>
      </c>
      <c r="L46" s="29">
        <v>40.113849999999999</v>
      </c>
      <c r="M46" s="29">
        <v>31.95158</v>
      </c>
      <c r="N46" s="29">
        <v>0</v>
      </c>
      <c r="O46" s="29">
        <v>0.73457899999999998</v>
      </c>
      <c r="P46" s="29">
        <v>0</v>
      </c>
      <c r="Q46" s="29">
        <v>736</v>
      </c>
      <c r="R46" s="29" t="s">
        <v>209</v>
      </c>
      <c r="S46" s="29" t="s">
        <v>10</v>
      </c>
      <c r="T46" s="29" t="s">
        <v>273</v>
      </c>
      <c r="U46" s="29" t="s">
        <v>280</v>
      </c>
      <c r="V46" s="29">
        <v>9.9404430000000001</v>
      </c>
      <c r="W46" s="29"/>
      <c r="X46" s="29">
        <v>19.046060000000001</v>
      </c>
      <c r="Y46" s="29">
        <v>-7.05457</v>
      </c>
      <c r="Z46" s="29"/>
      <c r="AA46" s="29"/>
      <c r="AB46" s="29"/>
      <c r="AC46" s="29" t="b">
        <v>1</v>
      </c>
    </row>
    <row r="47" spans="1:29" x14ac:dyDescent="0.2">
      <c r="A47" s="29" t="s">
        <v>24</v>
      </c>
      <c r="B47" s="29" t="s">
        <v>8</v>
      </c>
      <c r="C47" s="29" t="s">
        <v>9</v>
      </c>
      <c r="D47" s="29" t="s">
        <v>277</v>
      </c>
      <c r="E47" s="29" t="s">
        <v>276</v>
      </c>
      <c r="F47" s="29" t="b">
        <v>0</v>
      </c>
      <c r="G47" s="29">
        <v>7</v>
      </c>
      <c r="H47" s="29">
        <v>8</v>
      </c>
      <c r="I47" s="29">
        <v>4</v>
      </c>
      <c r="J47" s="29">
        <v>-13.0839</v>
      </c>
      <c r="K47" s="29">
        <v>34.167870000000001</v>
      </c>
      <c r="L47" s="29">
        <v>54.167870000000001</v>
      </c>
      <c r="M47" s="29">
        <v>33.951509999999999</v>
      </c>
      <c r="N47" s="29">
        <v>14.05402</v>
      </c>
      <c r="O47" s="29">
        <v>6.5200000000000002E-4</v>
      </c>
      <c r="P47" s="29">
        <v>0</v>
      </c>
      <c r="Q47" s="29">
        <v>736</v>
      </c>
      <c r="R47" s="29" t="s">
        <v>209</v>
      </c>
      <c r="S47" s="29" t="s">
        <v>10</v>
      </c>
      <c r="T47" s="29" t="s">
        <v>273</v>
      </c>
      <c r="U47" s="29" t="s">
        <v>280</v>
      </c>
      <c r="V47" s="29">
        <v>1.5686180000000001</v>
      </c>
      <c r="W47" s="29"/>
      <c r="X47" s="29"/>
      <c r="Y47" s="29"/>
      <c r="Z47" s="29">
        <v>3</v>
      </c>
      <c r="AA47" s="29"/>
      <c r="AB47" s="29"/>
      <c r="AC47" s="29" t="b">
        <v>1</v>
      </c>
    </row>
    <row r="48" spans="1:29" x14ac:dyDescent="0.2">
      <c r="A48" s="29" t="s">
        <v>24</v>
      </c>
      <c r="B48" s="29" t="s">
        <v>8</v>
      </c>
      <c r="C48" s="29" t="s">
        <v>9</v>
      </c>
      <c r="D48" s="29" t="s">
        <v>278</v>
      </c>
      <c r="E48" s="29" t="s">
        <v>276</v>
      </c>
      <c r="F48" s="29" t="b">
        <v>0</v>
      </c>
      <c r="G48" s="29">
        <v>7</v>
      </c>
      <c r="H48" s="29">
        <v>8</v>
      </c>
      <c r="I48" s="29">
        <v>5</v>
      </c>
      <c r="J48" s="29">
        <v>-11.827</v>
      </c>
      <c r="K48" s="29">
        <v>33.653979999999997</v>
      </c>
      <c r="L48" s="29">
        <v>93.653980000000004</v>
      </c>
      <c r="M48" s="29">
        <v>33.38353</v>
      </c>
      <c r="N48" s="29">
        <v>53.540129999999998</v>
      </c>
      <c r="O48" s="30">
        <v>1.7400000000000001E-12</v>
      </c>
      <c r="P48" s="29">
        <v>0</v>
      </c>
      <c r="Q48" s="29">
        <v>736</v>
      </c>
      <c r="R48" s="29" t="s">
        <v>209</v>
      </c>
      <c r="S48" s="29" t="s">
        <v>10</v>
      </c>
      <c r="T48" s="29" t="s">
        <v>273</v>
      </c>
      <c r="U48" s="29" t="s">
        <v>280</v>
      </c>
      <c r="V48" s="29">
        <v>2.1512150000000001</v>
      </c>
      <c r="W48" s="29"/>
      <c r="X48" s="29">
        <v>3.23577</v>
      </c>
      <c r="Y48" s="29">
        <v>-6.8925200000000002</v>
      </c>
      <c r="Z48" s="29"/>
      <c r="AA48" s="29">
        <v>0.212203</v>
      </c>
      <c r="AB48" s="29">
        <v>3.879518</v>
      </c>
      <c r="AC48" s="29" t="b">
        <v>1</v>
      </c>
    </row>
    <row r="49" spans="1:29" x14ac:dyDescent="0.2">
      <c r="A49" s="29" t="s">
        <v>136</v>
      </c>
      <c r="B49" s="29" t="s">
        <v>94</v>
      </c>
      <c r="C49" s="29" t="s">
        <v>122</v>
      </c>
      <c r="D49" s="29" t="s">
        <v>146</v>
      </c>
      <c r="E49" s="29" t="s">
        <v>278</v>
      </c>
      <c r="F49" s="29" t="b">
        <v>0</v>
      </c>
      <c r="G49" s="29">
        <v>9</v>
      </c>
      <c r="H49" s="29">
        <v>10</v>
      </c>
      <c r="I49" s="29">
        <v>1</v>
      </c>
      <c r="J49" s="29">
        <v>-26.6631</v>
      </c>
      <c r="K49" s="29">
        <v>55.326169999999998</v>
      </c>
      <c r="L49" s="29">
        <v>55.897599999999997</v>
      </c>
      <c r="M49" s="29">
        <v>55.523400000000002</v>
      </c>
      <c r="N49" s="29">
        <v>15.60971</v>
      </c>
      <c r="O49" s="29">
        <v>4.0700000000000003E-4</v>
      </c>
      <c r="P49" s="29">
        <v>21</v>
      </c>
      <c r="Q49" s="29">
        <v>2408</v>
      </c>
      <c r="R49" s="29" t="s">
        <v>209</v>
      </c>
      <c r="S49" s="29" t="s">
        <v>106</v>
      </c>
      <c r="T49" s="29" t="s">
        <v>279</v>
      </c>
      <c r="U49" s="29" t="s">
        <v>274</v>
      </c>
      <c r="V49" s="29">
        <v>7.4154790000000004</v>
      </c>
      <c r="W49" s="29"/>
      <c r="X49" s="29"/>
      <c r="Y49" s="29"/>
      <c r="Z49" s="29"/>
      <c r="AA49" s="29"/>
      <c r="AB49" s="29"/>
      <c r="AC49" s="29" t="b">
        <v>1</v>
      </c>
    </row>
    <row r="50" spans="1:29" x14ac:dyDescent="0.2">
      <c r="A50" s="29" t="s">
        <v>136</v>
      </c>
      <c r="B50" s="29" t="s">
        <v>94</v>
      </c>
      <c r="C50" s="29" t="s">
        <v>122</v>
      </c>
      <c r="D50" s="29" t="s">
        <v>275</v>
      </c>
      <c r="E50" s="29" t="s">
        <v>278</v>
      </c>
      <c r="F50" s="29" t="b">
        <v>0</v>
      </c>
      <c r="G50" s="29">
        <v>9</v>
      </c>
      <c r="H50" s="29">
        <v>10</v>
      </c>
      <c r="I50" s="29">
        <v>2</v>
      </c>
      <c r="J50" s="29">
        <v>-26.658100000000001</v>
      </c>
      <c r="K50" s="29">
        <v>57.316209999999998</v>
      </c>
      <c r="L50" s="29">
        <v>59.316209999999998</v>
      </c>
      <c r="M50" s="29">
        <v>57.710659999999997</v>
      </c>
      <c r="N50" s="29">
        <v>19.028320000000001</v>
      </c>
      <c r="O50" s="30">
        <v>7.3700000000000002E-5</v>
      </c>
      <c r="P50" s="29">
        <v>21</v>
      </c>
      <c r="Q50" s="29">
        <v>2408</v>
      </c>
      <c r="R50" s="29" t="s">
        <v>209</v>
      </c>
      <c r="S50" s="29" t="s">
        <v>106</v>
      </c>
      <c r="T50" s="29" t="s">
        <v>279</v>
      </c>
      <c r="U50" s="29" t="s">
        <v>274</v>
      </c>
      <c r="V50" s="29">
        <v>7.4113759999999997</v>
      </c>
      <c r="W50" s="29">
        <v>0.289462</v>
      </c>
      <c r="X50" s="29"/>
      <c r="Y50" s="29"/>
      <c r="Z50" s="29"/>
      <c r="AA50" s="29"/>
      <c r="AB50" s="29"/>
      <c r="AC50" s="29" t="b">
        <v>1</v>
      </c>
    </row>
    <row r="51" spans="1:29" x14ac:dyDescent="0.2">
      <c r="A51" s="29" t="s">
        <v>136</v>
      </c>
      <c r="B51" s="29" t="s">
        <v>94</v>
      </c>
      <c r="C51" s="29" t="s">
        <v>122</v>
      </c>
      <c r="D51" s="29" t="s">
        <v>276</v>
      </c>
      <c r="E51" s="29" t="s">
        <v>278</v>
      </c>
      <c r="F51" s="29" t="b">
        <v>0</v>
      </c>
      <c r="G51" s="29">
        <v>9</v>
      </c>
      <c r="H51" s="29">
        <v>10</v>
      </c>
      <c r="I51" s="29">
        <v>3</v>
      </c>
      <c r="J51" s="29">
        <v>-22.507999999999999</v>
      </c>
      <c r="K51" s="29">
        <v>51.015920000000001</v>
      </c>
      <c r="L51" s="29">
        <v>55.815919999999998</v>
      </c>
      <c r="M51" s="29">
        <v>51.607590000000002</v>
      </c>
      <c r="N51" s="29">
        <v>15.52802</v>
      </c>
      <c r="O51" s="29">
        <v>4.2400000000000001E-4</v>
      </c>
      <c r="P51" s="29">
        <v>21</v>
      </c>
      <c r="Q51" s="29">
        <v>2408</v>
      </c>
      <c r="R51" s="29" t="s">
        <v>209</v>
      </c>
      <c r="S51" s="29" t="s">
        <v>106</v>
      </c>
      <c r="T51" s="29" t="s">
        <v>279</v>
      </c>
      <c r="U51" s="29" t="s">
        <v>274</v>
      </c>
      <c r="V51" s="29">
        <v>12.999140000000001</v>
      </c>
      <c r="W51" s="29"/>
      <c r="X51" s="29">
        <v>8.8569440000000004</v>
      </c>
      <c r="Y51" s="29">
        <v>-3.2231399999999999</v>
      </c>
      <c r="Z51" s="29"/>
      <c r="AA51" s="29"/>
      <c r="AB51" s="29"/>
      <c r="AC51" s="29" t="b">
        <v>1</v>
      </c>
    </row>
    <row r="52" spans="1:29" x14ac:dyDescent="0.2">
      <c r="A52" s="29" t="s">
        <v>136</v>
      </c>
      <c r="B52" s="29" t="s">
        <v>94</v>
      </c>
      <c r="C52" s="29" t="s">
        <v>122</v>
      </c>
      <c r="D52" s="29" t="s">
        <v>277</v>
      </c>
      <c r="E52" s="29" t="s">
        <v>278</v>
      </c>
      <c r="F52" s="29" t="b">
        <v>0</v>
      </c>
      <c r="G52" s="29">
        <v>9</v>
      </c>
      <c r="H52" s="29">
        <v>10</v>
      </c>
      <c r="I52" s="29">
        <v>4</v>
      </c>
      <c r="J52" s="29">
        <v>-20.972000000000001</v>
      </c>
      <c r="K52" s="29">
        <v>49.943989999999999</v>
      </c>
      <c r="L52" s="29">
        <v>59.943989999999999</v>
      </c>
      <c r="M52" s="29">
        <v>50.732889999999998</v>
      </c>
      <c r="N52" s="29">
        <v>19.656099999999999</v>
      </c>
      <c r="O52" s="30">
        <v>5.3900000000000002E-5</v>
      </c>
      <c r="P52" s="29">
        <v>21</v>
      </c>
      <c r="Q52" s="29">
        <v>2408</v>
      </c>
      <c r="R52" s="29" t="s">
        <v>209</v>
      </c>
      <c r="S52" s="29" t="s">
        <v>106</v>
      </c>
      <c r="T52" s="29" t="s">
        <v>279</v>
      </c>
      <c r="U52" s="29" t="s">
        <v>274</v>
      </c>
      <c r="V52" s="29">
        <v>2.4875129999999999</v>
      </c>
      <c r="W52" s="29"/>
      <c r="X52" s="29"/>
      <c r="Y52" s="29"/>
      <c r="Z52" s="29">
        <v>3</v>
      </c>
      <c r="AA52" s="29"/>
      <c r="AB52" s="29"/>
      <c r="AC52" s="29" t="b">
        <v>1</v>
      </c>
    </row>
    <row r="53" spans="1:29" x14ac:dyDescent="0.2">
      <c r="A53" s="29" t="s">
        <v>136</v>
      </c>
      <c r="B53" s="29" t="s">
        <v>94</v>
      </c>
      <c r="C53" s="29" t="s">
        <v>122</v>
      </c>
      <c r="D53" s="29" t="s">
        <v>278</v>
      </c>
      <c r="E53" s="29" t="s">
        <v>278</v>
      </c>
      <c r="F53" s="29" t="b">
        <v>1</v>
      </c>
      <c r="G53" s="29">
        <v>9</v>
      </c>
      <c r="H53" s="29">
        <v>10</v>
      </c>
      <c r="I53" s="29">
        <v>5</v>
      </c>
      <c r="J53" s="29">
        <v>-5.1439500000000002</v>
      </c>
      <c r="K53" s="29">
        <v>20.287890000000001</v>
      </c>
      <c r="L53" s="29">
        <v>40.287889999999997</v>
      </c>
      <c r="M53" s="29">
        <v>21.27402</v>
      </c>
      <c r="N53" s="29">
        <v>0</v>
      </c>
      <c r="O53" s="29">
        <v>0.99904099999999996</v>
      </c>
      <c r="P53" s="29">
        <v>21</v>
      </c>
      <c r="Q53" s="29">
        <v>2408</v>
      </c>
      <c r="R53" s="29" t="s">
        <v>209</v>
      </c>
      <c r="S53" s="29" t="s">
        <v>106</v>
      </c>
      <c r="T53" s="29" t="s">
        <v>279</v>
      </c>
      <c r="U53" s="29" t="s">
        <v>274</v>
      </c>
      <c r="V53" s="30">
        <v>4.5399999999999999E-5</v>
      </c>
      <c r="W53" s="29"/>
      <c r="X53" s="29">
        <v>0.34416099999999999</v>
      </c>
      <c r="Y53" s="29">
        <v>-1.41673</v>
      </c>
      <c r="Z53" s="29"/>
      <c r="AA53" s="29">
        <v>0.77778199999999997</v>
      </c>
      <c r="AB53" s="29">
        <v>3.4520439999999999</v>
      </c>
      <c r="AC53" s="29" t="b">
        <v>1</v>
      </c>
    </row>
    <row r="54" spans="1:29" x14ac:dyDescent="0.2">
      <c r="A54" s="29" t="s">
        <v>139</v>
      </c>
      <c r="B54" s="29" t="s">
        <v>94</v>
      </c>
      <c r="C54" s="29" t="s">
        <v>122</v>
      </c>
      <c r="D54" s="29" t="s">
        <v>146</v>
      </c>
      <c r="E54" s="29" t="s">
        <v>146</v>
      </c>
      <c r="F54" s="29" t="b">
        <v>1</v>
      </c>
      <c r="G54" s="29">
        <v>8</v>
      </c>
      <c r="H54" s="29">
        <v>9</v>
      </c>
      <c r="I54" s="29">
        <v>1</v>
      </c>
      <c r="J54" s="29">
        <v>-18.523700000000002</v>
      </c>
      <c r="K54" s="29">
        <v>39.047310000000003</v>
      </c>
      <c r="L54" s="29">
        <v>39.713979999999999</v>
      </c>
      <c r="M54" s="29">
        <v>39.126750000000001</v>
      </c>
      <c r="N54" s="29">
        <v>0</v>
      </c>
      <c r="O54" s="29">
        <v>0.77205699999999999</v>
      </c>
      <c r="P54" s="29">
        <v>0</v>
      </c>
      <c r="Q54" s="29">
        <v>742</v>
      </c>
      <c r="R54" s="29" t="s">
        <v>209</v>
      </c>
      <c r="S54" s="29" t="s">
        <v>10</v>
      </c>
      <c r="T54" s="29" t="s">
        <v>273</v>
      </c>
      <c r="U54" s="29" t="s">
        <v>280</v>
      </c>
      <c r="V54" s="29">
        <v>7.6075559999999998</v>
      </c>
      <c r="W54" s="29"/>
      <c r="X54" s="29"/>
      <c r="Y54" s="29"/>
      <c r="Z54" s="29"/>
      <c r="AA54" s="29"/>
      <c r="AB54" s="29"/>
      <c r="AC54" s="29" t="b">
        <v>1</v>
      </c>
    </row>
    <row r="55" spans="1:29" x14ac:dyDescent="0.2">
      <c r="A55" s="29" t="s">
        <v>139</v>
      </c>
      <c r="B55" s="29" t="s">
        <v>94</v>
      </c>
      <c r="C55" s="29" t="s">
        <v>122</v>
      </c>
      <c r="D55" s="29" t="s">
        <v>275</v>
      </c>
      <c r="E55" s="29" t="s">
        <v>146</v>
      </c>
      <c r="F55" s="29" t="b">
        <v>0</v>
      </c>
      <c r="G55" s="29">
        <v>8</v>
      </c>
      <c r="H55" s="29">
        <v>9</v>
      </c>
      <c r="I55" s="29">
        <v>2</v>
      </c>
      <c r="J55" s="29">
        <v>-18.448899999999998</v>
      </c>
      <c r="K55" s="29">
        <v>40.897799999999997</v>
      </c>
      <c r="L55" s="29">
        <v>43.297800000000002</v>
      </c>
      <c r="M55" s="29">
        <v>41.05668</v>
      </c>
      <c r="N55" s="29">
        <v>3.5838230000000002</v>
      </c>
      <c r="O55" s="29">
        <v>0.12865699999999999</v>
      </c>
      <c r="P55" s="29">
        <v>0</v>
      </c>
      <c r="Q55" s="29">
        <v>742</v>
      </c>
      <c r="R55" s="29" t="s">
        <v>209</v>
      </c>
      <c r="S55" s="29" t="s">
        <v>10</v>
      </c>
      <c r="T55" s="29" t="s">
        <v>273</v>
      </c>
      <c r="U55" s="29" t="s">
        <v>280</v>
      </c>
      <c r="V55" s="29">
        <v>7.5367990000000002</v>
      </c>
      <c r="W55" s="29">
        <v>-2.0542199999999999</v>
      </c>
      <c r="X55" s="29"/>
      <c r="Y55" s="29"/>
      <c r="Z55" s="29"/>
      <c r="AA55" s="29"/>
      <c r="AB55" s="29"/>
      <c r="AC55" s="29" t="b">
        <v>1</v>
      </c>
    </row>
    <row r="56" spans="1:29" x14ac:dyDescent="0.2">
      <c r="A56" s="29" t="s">
        <v>139</v>
      </c>
      <c r="B56" s="29" t="s">
        <v>94</v>
      </c>
      <c r="C56" s="29" t="s">
        <v>122</v>
      </c>
      <c r="D56" s="29" t="s">
        <v>276</v>
      </c>
      <c r="E56" s="29" t="s">
        <v>146</v>
      </c>
      <c r="F56" s="29" t="b">
        <v>0</v>
      </c>
      <c r="G56" s="29">
        <v>8</v>
      </c>
      <c r="H56" s="29">
        <v>9</v>
      </c>
      <c r="I56" s="29">
        <v>3</v>
      </c>
      <c r="J56" s="29">
        <v>-16.0504</v>
      </c>
      <c r="K56" s="29">
        <v>38.100850000000001</v>
      </c>
      <c r="L56" s="29">
        <v>44.100850000000001</v>
      </c>
      <c r="M56" s="29">
        <v>38.339179999999999</v>
      </c>
      <c r="N56" s="29">
        <v>4.3868780000000003</v>
      </c>
      <c r="O56" s="29">
        <v>8.6110000000000006E-2</v>
      </c>
      <c r="P56" s="29">
        <v>0</v>
      </c>
      <c r="Q56" s="29">
        <v>742</v>
      </c>
      <c r="R56" s="29" t="s">
        <v>209</v>
      </c>
      <c r="S56" s="29" t="s">
        <v>10</v>
      </c>
      <c r="T56" s="29" t="s">
        <v>273</v>
      </c>
      <c r="U56" s="29" t="s">
        <v>280</v>
      </c>
      <c r="V56" s="29">
        <v>9.770626</v>
      </c>
      <c r="W56" s="29"/>
      <c r="X56" s="29">
        <v>10.883839999999999</v>
      </c>
      <c r="Y56" s="29">
        <v>-5.1450899999999997</v>
      </c>
      <c r="Z56" s="29"/>
      <c r="AA56" s="29"/>
      <c r="AB56" s="29"/>
      <c r="AC56" s="29" t="b">
        <v>1</v>
      </c>
    </row>
    <row r="57" spans="1:29" x14ac:dyDescent="0.2">
      <c r="A57" s="29" t="s">
        <v>139</v>
      </c>
      <c r="B57" s="29" t="s">
        <v>94</v>
      </c>
      <c r="C57" s="29" t="s">
        <v>122</v>
      </c>
      <c r="D57" s="29" t="s">
        <v>277</v>
      </c>
      <c r="E57" s="29" t="s">
        <v>146</v>
      </c>
      <c r="F57" s="29" t="b">
        <v>0</v>
      </c>
      <c r="G57" s="29">
        <v>8</v>
      </c>
      <c r="H57" s="29">
        <v>9</v>
      </c>
      <c r="I57" s="29">
        <v>4</v>
      </c>
      <c r="J57" s="29">
        <v>-13.260999999999999</v>
      </c>
      <c r="K57" s="29">
        <v>34.521909999999998</v>
      </c>
      <c r="L57" s="29">
        <v>47.855249999999998</v>
      </c>
      <c r="M57" s="29">
        <v>34.839680000000001</v>
      </c>
      <c r="N57" s="29">
        <v>8.1412700000000005</v>
      </c>
      <c r="O57" s="29">
        <v>1.3176E-2</v>
      </c>
      <c r="P57" s="29">
        <v>0</v>
      </c>
      <c r="Q57" s="29">
        <v>742</v>
      </c>
      <c r="R57" s="29" t="s">
        <v>209</v>
      </c>
      <c r="S57" s="29" t="s">
        <v>10</v>
      </c>
      <c r="T57" s="29" t="s">
        <v>273</v>
      </c>
      <c r="U57" s="29" t="s">
        <v>280</v>
      </c>
      <c r="V57" s="29">
        <v>1.2695730000000001</v>
      </c>
      <c r="W57" s="29"/>
      <c r="X57" s="29"/>
      <c r="Y57" s="29"/>
      <c r="Z57" s="29">
        <v>3</v>
      </c>
      <c r="AA57" s="29"/>
      <c r="AB57" s="29"/>
      <c r="AC57" s="29" t="b">
        <v>1</v>
      </c>
    </row>
    <row r="58" spans="1:29" x14ac:dyDescent="0.2">
      <c r="A58" s="29" t="s">
        <v>139</v>
      </c>
      <c r="B58" s="29" t="s">
        <v>94</v>
      </c>
      <c r="C58" s="29" t="s">
        <v>122</v>
      </c>
      <c r="D58" s="29" t="s">
        <v>278</v>
      </c>
      <c r="E58" s="29" t="s">
        <v>146</v>
      </c>
      <c r="F58" s="29" t="b">
        <v>0</v>
      </c>
      <c r="G58" s="29">
        <v>8</v>
      </c>
      <c r="H58" s="29">
        <v>9</v>
      </c>
      <c r="I58" s="29">
        <v>5</v>
      </c>
      <c r="J58" s="29">
        <v>-15.1134</v>
      </c>
      <c r="K58" s="29">
        <v>40.226849999999999</v>
      </c>
      <c r="L58" s="29">
        <v>70.226849999999999</v>
      </c>
      <c r="M58" s="29">
        <v>40.62406</v>
      </c>
      <c r="N58" s="29">
        <v>30.512869999999999</v>
      </c>
      <c r="O58" s="30">
        <v>1.8300000000000001E-7</v>
      </c>
      <c r="P58" s="29">
        <v>0</v>
      </c>
      <c r="Q58" s="29">
        <v>742</v>
      </c>
      <c r="R58" s="29" t="s">
        <v>209</v>
      </c>
      <c r="S58" s="29" t="s">
        <v>10</v>
      </c>
      <c r="T58" s="29" t="s">
        <v>273</v>
      </c>
      <c r="U58" s="29" t="s">
        <v>280</v>
      </c>
      <c r="V58" s="29">
        <v>5.2706010000000001</v>
      </c>
      <c r="W58" s="29"/>
      <c r="X58" s="29">
        <v>13.288169999999999</v>
      </c>
      <c r="Y58" s="29">
        <v>-6.2834500000000002</v>
      </c>
      <c r="Z58" s="29"/>
      <c r="AA58" s="29">
        <v>0.20618800000000001</v>
      </c>
      <c r="AB58" s="29">
        <v>4.2778600000000004</v>
      </c>
      <c r="AC58" s="29" t="b">
        <v>1</v>
      </c>
    </row>
    <row r="59" spans="1:29" x14ac:dyDescent="0.2">
      <c r="A59" s="29" t="s">
        <v>61</v>
      </c>
      <c r="B59" s="29" t="s">
        <v>8</v>
      </c>
      <c r="C59" s="29" t="s">
        <v>59</v>
      </c>
      <c r="D59" s="29" t="s">
        <v>146</v>
      </c>
      <c r="E59" s="29" t="s">
        <v>276</v>
      </c>
      <c r="F59" s="29" t="b">
        <v>0</v>
      </c>
      <c r="G59" s="29">
        <v>7</v>
      </c>
      <c r="H59" s="29">
        <v>8</v>
      </c>
      <c r="I59" s="29">
        <v>1</v>
      </c>
      <c r="J59" s="29">
        <v>-20.120799999999999</v>
      </c>
      <c r="K59" s="29">
        <v>42.241660000000003</v>
      </c>
      <c r="L59" s="29">
        <v>43.04166</v>
      </c>
      <c r="M59" s="29">
        <v>42.187570000000001</v>
      </c>
      <c r="N59" s="29">
        <v>26.922650000000001</v>
      </c>
      <c r="O59" s="30">
        <v>1.37E-6</v>
      </c>
      <c r="P59" s="29">
        <v>0</v>
      </c>
      <c r="Q59" s="29">
        <v>1734</v>
      </c>
      <c r="R59" s="29" t="s">
        <v>209</v>
      </c>
      <c r="S59" s="29" t="s">
        <v>28</v>
      </c>
      <c r="T59" s="29" t="s">
        <v>273</v>
      </c>
      <c r="U59" s="29" t="s">
        <v>280</v>
      </c>
      <c r="V59" s="29">
        <v>6.7612139999999998</v>
      </c>
      <c r="W59" s="29"/>
      <c r="X59" s="29"/>
      <c r="Y59" s="29"/>
      <c r="Z59" s="29"/>
      <c r="AA59" s="29"/>
      <c r="AB59" s="29"/>
      <c r="AC59" s="29" t="b">
        <v>1</v>
      </c>
    </row>
    <row r="60" spans="1:29" x14ac:dyDescent="0.2">
      <c r="A60" s="29" t="s">
        <v>61</v>
      </c>
      <c r="B60" s="29" t="s">
        <v>8</v>
      </c>
      <c r="C60" s="29" t="s">
        <v>59</v>
      </c>
      <c r="D60" s="29" t="s">
        <v>275</v>
      </c>
      <c r="E60" s="29" t="s">
        <v>276</v>
      </c>
      <c r="F60" s="29" t="b">
        <v>0</v>
      </c>
      <c r="G60" s="29">
        <v>7</v>
      </c>
      <c r="H60" s="29">
        <v>8</v>
      </c>
      <c r="I60" s="29">
        <v>2</v>
      </c>
      <c r="J60" s="29">
        <v>-20.0245</v>
      </c>
      <c r="K60" s="29">
        <v>44.04907</v>
      </c>
      <c r="L60" s="29">
        <v>47.04907</v>
      </c>
      <c r="M60" s="29">
        <v>43.940890000000003</v>
      </c>
      <c r="N60" s="29">
        <v>30.930060000000001</v>
      </c>
      <c r="O60" s="30">
        <v>1.85E-7</v>
      </c>
      <c r="P60" s="29">
        <v>0</v>
      </c>
      <c r="Q60" s="29">
        <v>1734</v>
      </c>
      <c r="R60" s="29" t="s">
        <v>209</v>
      </c>
      <c r="S60" s="29" t="s">
        <v>28</v>
      </c>
      <c r="T60" s="29" t="s">
        <v>273</v>
      </c>
      <c r="U60" s="29" t="s">
        <v>280</v>
      </c>
      <c r="V60" s="29">
        <v>6.6688419999999997</v>
      </c>
      <c r="W60" s="29">
        <v>-1.3524700000000001</v>
      </c>
      <c r="X60" s="29"/>
      <c r="Y60" s="29"/>
      <c r="Z60" s="29"/>
      <c r="AA60" s="29"/>
      <c r="AB60" s="29"/>
      <c r="AC60" s="29" t="b">
        <v>1</v>
      </c>
    </row>
    <row r="61" spans="1:29" x14ac:dyDescent="0.2">
      <c r="A61" s="29" t="s">
        <v>61</v>
      </c>
      <c r="B61" s="29" t="s">
        <v>8</v>
      </c>
      <c r="C61" s="29" t="s">
        <v>59</v>
      </c>
      <c r="D61" s="29" t="s">
        <v>276</v>
      </c>
      <c r="E61" s="29" t="s">
        <v>276</v>
      </c>
      <c r="F61" s="29" t="b">
        <v>1</v>
      </c>
      <c r="G61" s="29">
        <v>7</v>
      </c>
      <c r="H61" s="29">
        <v>8</v>
      </c>
      <c r="I61" s="29">
        <v>3</v>
      </c>
      <c r="J61" s="29">
        <v>-1.05951</v>
      </c>
      <c r="K61" s="29">
        <v>8.1190119999999997</v>
      </c>
      <c r="L61" s="29">
        <v>16.119009999999999</v>
      </c>
      <c r="M61" s="29">
        <v>7.9567420000000002</v>
      </c>
      <c r="N61" s="29">
        <v>0</v>
      </c>
      <c r="O61" s="29">
        <v>0.96356900000000001</v>
      </c>
      <c r="P61" s="29">
        <v>0</v>
      </c>
      <c r="Q61" s="29">
        <v>1734</v>
      </c>
      <c r="R61" s="29" t="s">
        <v>209</v>
      </c>
      <c r="S61" s="29" t="s">
        <v>28</v>
      </c>
      <c r="T61" s="29" t="s">
        <v>273</v>
      </c>
      <c r="U61" s="29" t="s">
        <v>280</v>
      </c>
      <c r="V61" s="29">
        <v>1.8258779999999999</v>
      </c>
      <c r="W61" s="29"/>
      <c r="X61" s="29">
        <v>20.420369999999998</v>
      </c>
      <c r="Y61" s="29">
        <v>-7.0456500000000002</v>
      </c>
      <c r="Z61" s="29"/>
      <c r="AA61" s="29"/>
      <c r="AB61" s="29"/>
      <c r="AC61" s="29" t="b">
        <v>1</v>
      </c>
    </row>
    <row r="62" spans="1:29" x14ac:dyDescent="0.2">
      <c r="A62" s="29" t="s">
        <v>61</v>
      </c>
      <c r="B62" s="29" t="s">
        <v>8</v>
      </c>
      <c r="C62" s="29" t="s">
        <v>59</v>
      </c>
      <c r="D62" s="29" t="s">
        <v>277</v>
      </c>
      <c r="E62" s="29" t="s">
        <v>276</v>
      </c>
      <c r="F62" s="29" t="b">
        <v>0</v>
      </c>
      <c r="G62" s="29">
        <v>7</v>
      </c>
      <c r="H62" s="29">
        <v>8</v>
      </c>
      <c r="I62" s="29">
        <v>4</v>
      </c>
      <c r="J62" s="29">
        <v>2.6652290000000001</v>
      </c>
      <c r="K62" s="29">
        <v>2.669543</v>
      </c>
      <c r="L62" s="29">
        <v>22.669540000000001</v>
      </c>
      <c r="M62" s="29">
        <v>2.4531830000000001</v>
      </c>
      <c r="N62" s="29">
        <v>6.5505310000000003</v>
      </c>
      <c r="O62" s="29">
        <v>3.6429000000000003E-2</v>
      </c>
      <c r="P62" s="29">
        <v>0</v>
      </c>
      <c r="Q62" s="29">
        <v>1734</v>
      </c>
      <c r="R62" s="29" t="s">
        <v>209</v>
      </c>
      <c r="S62" s="29" t="s">
        <v>28</v>
      </c>
      <c r="T62" s="29" t="s">
        <v>273</v>
      </c>
      <c r="U62" s="29" t="s">
        <v>280</v>
      </c>
      <c r="V62" s="29">
        <v>0.165351</v>
      </c>
      <c r="W62" s="29"/>
      <c r="X62" s="29"/>
      <c r="Y62" s="29"/>
      <c r="Z62" s="29">
        <v>3</v>
      </c>
      <c r="AA62" s="29"/>
      <c r="AB62" s="29"/>
      <c r="AC62" s="29" t="b">
        <v>1</v>
      </c>
    </row>
    <row r="63" spans="1:29" x14ac:dyDescent="0.2">
      <c r="A63" s="29" t="s">
        <v>61</v>
      </c>
      <c r="B63" s="29" t="s">
        <v>8</v>
      </c>
      <c r="C63" s="29" t="s">
        <v>59</v>
      </c>
      <c r="D63" s="29" t="s">
        <v>278</v>
      </c>
      <c r="E63" s="29" t="s">
        <v>276</v>
      </c>
      <c r="F63" s="29" t="b">
        <v>0</v>
      </c>
      <c r="G63" s="29">
        <v>7</v>
      </c>
      <c r="H63" s="29">
        <v>8</v>
      </c>
      <c r="I63" s="29">
        <v>5</v>
      </c>
      <c r="J63" s="29">
        <v>-0.1852</v>
      </c>
      <c r="K63" s="29">
        <v>10.3704</v>
      </c>
      <c r="L63" s="29">
        <v>70.370400000000004</v>
      </c>
      <c r="M63" s="29">
        <v>10.099959999999999</v>
      </c>
      <c r="N63" s="29">
        <v>54.251390000000001</v>
      </c>
      <c r="O63" s="30">
        <v>1.6E-12</v>
      </c>
      <c r="P63" s="29">
        <v>0</v>
      </c>
      <c r="Q63" s="29">
        <v>1734</v>
      </c>
      <c r="R63" s="29" t="s">
        <v>209</v>
      </c>
      <c r="S63" s="29" t="s">
        <v>28</v>
      </c>
      <c r="T63" s="29" t="s">
        <v>273</v>
      </c>
      <c r="U63" s="29" t="s">
        <v>280</v>
      </c>
      <c r="V63" s="29">
        <v>0.87743899999999997</v>
      </c>
      <c r="W63" s="29"/>
      <c r="X63" s="29">
        <v>20.14791</v>
      </c>
      <c r="Y63" s="29">
        <v>-7.1559999999999997</v>
      </c>
      <c r="Z63" s="29"/>
      <c r="AA63" s="29">
        <v>0.256828</v>
      </c>
      <c r="AB63" s="29">
        <v>0.533138</v>
      </c>
      <c r="AC63" s="29" t="b">
        <v>1</v>
      </c>
    </row>
    <row r="64" spans="1:29" x14ac:dyDescent="0.2">
      <c r="A64" s="29" t="s">
        <v>141</v>
      </c>
      <c r="B64" s="29" t="s">
        <v>94</v>
      </c>
      <c r="C64" s="29" t="s">
        <v>122</v>
      </c>
      <c r="D64" s="29" t="s">
        <v>146</v>
      </c>
      <c r="E64" s="29" t="s">
        <v>278</v>
      </c>
      <c r="F64" s="29" t="b">
        <v>0</v>
      </c>
      <c r="G64" s="29">
        <v>10</v>
      </c>
      <c r="H64" s="29">
        <v>11</v>
      </c>
      <c r="I64" s="29">
        <v>1</v>
      </c>
      <c r="J64" s="29">
        <v>-30.0321</v>
      </c>
      <c r="K64" s="29">
        <v>62.064169999999997</v>
      </c>
      <c r="L64" s="29">
        <v>62.564169999999997</v>
      </c>
      <c r="M64" s="29">
        <v>62.366750000000003</v>
      </c>
      <c r="N64" s="29">
        <v>14.707789999999999</v>
      </c>
      <c r="O64" s="29">
        <v>5.0500000000000002E-4</v>
      </c>
      <c r="P64" s="29">
        <v>0</v>
      </c>
      <c r="Q64" s="29">
        <v>685</v>
      </c>
      <c r="R64" s="29" t="s">
        <v>209</v>
      </c>
      <c r="S64" s="29" t="s">
        <v>10</v>
      </c>
      <c r="T64" s="29" t="s">
        <v>279</v>
      </c>
      <c r="U64" s="29" t="s">
        <v>280</v>
      </c>
      <c r="V64" s="29">
        <v>12.774710000000001</v>
      </c>
      <c r="W64" s="29"/>
      <c r="X64" s="29"/>
      <c r="Y64" s="29"/>
      <c r="Z64" s="29"/>
      <c r="AA64" s="29"/>
      <c r="AB64" s="29"/>
      <c r="AC64" s="29" t="b">
        <v>1</v>
      </c>
    </row>
    <row r="65" spans="1:29" x14ac:dyDescent="0.2">
      <c r="A65" s="29" t="s">
        <v>141</v>
      </c>
      <c r="B65" s="29" t="s">
        <v>94</v>
      </c>
      <c r="C65" s="29" t="s">
        <v>122</v>
      </c>
      <c r="D65" s="29" t="s">
        <v>275</v>
      </c>
      <c r="E65" s="29" t="s">
        <v>278</v>
      </c>
      <c r="F65" s="29" t="b">
        <v>0</v>
      </c>
      <c r="G65" s="29">
        <v>10</v>
      </c>
      <c r="H65" s="29">
        <v>11</v>
      </c>
      <c r="I65" s="29">
        <v>2</v>
      </c>
      <c r="J65" s="29">
        <v>-29.9222</v>
      </c>
      <c r="K65" s="29">
        <v>63.84449</v>
      </c>
      <c r="L65" s="29">
        <v>65.558779999999999</v>
      </c>
      <c r="M65" s="29">
        <v>64.449659999999994</v>
      </c>
      <c r="N65" s="29">
        <v>17.702400000000001</v>
      </c>
      <c r="O65" s="29">
        <v>1.13E-4</v>
      </c>
      <c r="P65" s="29">
        <v>0</v>
      </c>
      <c r="Q65" s="29">
        <v>685</v>
      </c>
      <c r="R65" s="29" t="s">
        <v>209</v>
      </c>
      <c r="S65" s="29" t="s">
        <v>10</v>
      </c>
      <c r="T65" s="29" t="s">
        <v>279</v>
      </c>
      <c r="U65" s="29" t="s">
        <v>280</v>
      </c>
      <c r="V65" s="29">
        <v>12.63517</v>
      </c>
      <c r="W65" s="29">
        <v>-4.3482200000000004</v>
      </c>
      <c r="X65" s="29"/>
      <c r="Y65" s="29"/>
      <c r="Z65" s="29"/>
      <c r="AA65" s="29"/>
      <c r="AB65" s="29"/>
      <c r="AC65" s="29" t="b">
        <v>1</v>
      </c>
    </row>
    <row r="66" spans="1:29" x14ac:dyDescent="0.2">
      <c r="A66" s="29" t="s">
        <v>141</v>
      </c>
      <c r="B66" s="29" t="s">
        <v>94</v>
      </c>
      <c r="C66" s="29" t="s">
        <v>122</v>
      </c>
      <c r="D66" s="29" t="s">
        <v>276</v>
      </c>
      <c r="E66" s="29" t="s">
        <v>278</v>
      </c>
      <c r="F66" s="29" t="b">
        <v>0</v>
      </c>
      <c r="G66" s="29">
        <v>10</v>
      </c>
      <c r="H66" s="29">
        <v>11</v>
      </c>
      <c r="I66" s="29">
        <v>3</v>
      </c>
      <c r="J66" s="29">
        <v>-20.328900000000001</v>
      </c>
      <c r="K66" s="29">
        <v>46.657730000000001</v>
      </c>
      <c r="L66" s="29">
        <v>50.657730000000001</v>
      </c>
      <c r="M66" s="29">
        <v>47.565489999999997</v>
      </c>
      <c r="N66" s="29">
        <v>2.8013560000000002</v>
      </c>
      <c r="O66" s="29">
        <v>0.19428000000000001</v>
      </c>
      <c r="P66" s="29">
        <v>0</v>
      </c>
      <c r="Q66" s="29">
        <v>685</v>
      </c>
      <c r="R66" s="29" t="s">
        <v>209</v>
      </c>
      <c r="S66" s="29" t="s">
        <v>10</v>
      </c>
      <c r="T66" s="29" t="s">
        <v>279</v>
      </c>
      <c r="U66" s="29" t="s">
        <v>280</v>
      </c>
      <c r="V66" s="29">
        <v>41.269179999999999</v>
      </c>
      <c r="W66" s="29"/>
      <c r="X66" s="29">
        <v>249.43379999999999</v>
      </c>
      <c r="Y66" s="29">
        <v>-7.6894400000000003</v>
      </c>
      <c r="Z66" s="29"/>
      <c r="AA66" s="29"/>
      <c r="AB66" s="29"/>
      <c r="AC66" s="29" t="b">
        <v>1</v>
      </c>
    </row>
    <row r="67" spans="1:29" x14ac:dyDescent="0.2">
      <c r="A67" s="29" t="s">
        <v>141</v>
      </c>
      <c r="B67" s="29" t="s">
        <v>94</v>
      </c>
      <c r="C67" s="29" t="s">
        <v>122</v>
      </c>
      <c r="D67" s="29" t="s">
        <v>277</v>
      </c>
      <c r="E67" s="29" t="s">
        <v>278</v>
      </c>
      <c r="F67" s="29" t="b">
        <v>0</v>
      </c>
      <c r="G67" s="29">
        <v>10</v>
      </c>
      <c r="H67" s="29">
        <v>11</v>
      </c>
      <c r="I67" s="29">
        <v>4</v>
      </c>
      <c r="J67" s="29">
        <v>-19.781500000000001</v>
      </c>
      <c r="K67" s="29">
        <v>47.562910000000002</v>
      </c>
      <c r="L67" s="29">
        <v>55.562910000000002</v>
      </c>
      <c r="M67" s="29">
        <v>48.773249999999997</v>
      </c>
      <c r="N67" s="29">
        <v>7.7065279999999996</v>
      </c>
      <c r="O67" s="29">
        <v>1.6722000000000001E-2</v>
      </c>
      <c r="P67" s="29">
        <v>0</v>
      </c>
      <c r="Q67" s="29">
        <v>685</v>
      </c>
      <c r="R67" s="29" t="s">
        <v>209</v>
      </c>
      <c r="S67" s="29" t="s">
        <v>10</v>
      </c>
      <c r="T67" s="29" t="s">
        <v>279</v>
      </c>
      <c r="U67" s="29" t="s">
        <v>280</v>
      </c>
      <c r="V67" s="29">
        <v>1.7492840000000001</v>
      </c>
      <c r="W67" s="29"/>
      <c r="X67" s="29"/>
      <c r="Y67" s="29"/>
      <c r="Z67" s="29">
        <v>3</v>
      </c>
      <c r="AA67" s="29"/>
      <c r="AB67" s="29"/>
      <c r="AC67" s="29" t="b">
        <v>1</v>
      </c>
    </row>
    <row r="68" spans="1:29" x14ac:dyDescent="0.2">
      <c r="A68" s="29" t="s">
        <v>141</v>
      </c>
      <c r="B68" s="29" t="s">
        <v>94</v>
      </c>
      <c r="C68" s="29" t="s">
        <v>122</v>
      </c>
      <c r="D68" s="29" t="s">
        <v>278</v>
      </c>
      <c r="E68" s="29" t="s">
        <v>278</v>
      </c>
      <c r="F68" s="29" t="b">
        <v>1</v>
      </c>
      <c r="G68" s="29">
        <v>10</v>
      </c>
      <c r="H68" s="29">
        <v>11</v>
      </c>
      <c r="I68" s="29">
        <v>5</v>
      </c>
      <c r="J68" s="29">
        <v>-11.4282</v>
      </c>
      <c r="K68" s="29">
        <v>32.856380000000001</v>
      </c>
      <c r="L68" s="29">
        <v>47.856380000000001</v>
      </c>
      <c r="M68" s="29">
        <v>34.369300000000003</v>
      </c>
      <c r="N68" s="29">
        <v>0</v>
      </c>
      <c r="O68" s="29">
        <v>0.78837999999999997</v>
      </c>
      <c r="P68" s="29">
        <v>0</v>
      </c>
      <c r="Q68" s="29">
        <v>685</v>
      </c>
      <c r="R68" s="29" t="s">
        <v>209</v>
      </c>
      <c r="S68" s="29" t="s">
        <v>10</v>
      </c>
      <c r="T68" s="29" t="s">
        <v>279</v>
      </c>
      <c r="U68" s="29" t="s">
        <v>280</v>
      </c>
      <c r="V68" s="29">
        <v>2.7500000000000002E-4</v>
      </c>
      <c r="W68" s="29"/>
      <c r="X68" s="29">
        <v>403.42880000000002</v>
      </c>
      <c r="Y68" s="29">
        <v>-7.6581799999999998</v>
      </c>
      <c r="Z68" s="29"/>
      <c r="AA68" s="29">
        <v>0.90001500000000001</v>
      </c>
      <c r="AB68" s="29">
        <v>1.947954</v>
      </c>
      <c r="AC68" s="29" t="b">
        <v>1</v>
      </c>
    </row>
    <row r="69" spans="1:29" x14ac:dyDescent="0.2">
      <c r="A69" s="29" t="s">
        <v>115</v>
      </c>
      <c r="B69" s="29" t="s">
        <v>94</v>
      </c>
      <c r="C69" s="29" t="s">
        <v>59</v>
      </c>
      <c r="D69" s="29" t="s">
        <v>146</v>
      </c>
      <c r="E69" s="29" t="s">
        <v>278</v>
      </c>
      <c r="F69" s="29" t="b">
        <v>0</v>
      </c>
      <c r="G69" s="29">
        <v>17</v>
      </c>
      <c r="H69" s="29">
        <v>18</v>
      </c>
      <c r="I69" s="29">
        <v>1</v>
      </c>
      <c r="J69" s="29">
        <v>-46.594299999999997</v>
      </c>
      <c r="K69" s="29">
        <v>95.18853</v>
      </c>
      <c r="L69" s="29">
        <v>95.455200000000005</v>
      </c>
      <c r="M69" s="29">
        <v>96.021749999999997</v>
      </c>
      <c r="N69" s="29">
        <v>18.304300000000001</v>
      </c>
      <c r="O69" s="30">
        <v>7.1500000000000003E-5</v>
      </c>
      <c r="P69" s="29">
        <v>0</v>
      </c>
      <c r="Q69" s="29">
        <v>546</v>
      </c>
      <c r="R69" s="29" t="s">
        <v>209</v>
      </c>
      <c r="S69" s="29" t="s">
        <v>10</v>
      </c>
      <c r="T69" s="29" t="s">
        <v>279</v>
      </c>
      <c r="U69" s="29" t="s">
        <v>274</v>
      </c>
      <c r="V69" s="29">
        <v>16.18927</v>
      </c>
      <c r="W69" s="29"/>
      <c r="X69" s="29"/>
      <c r="Y69" s="29"/>
      <c r="Z69" s="29"/>
      <c r="AA69" s="29"/>
      <c r="AB69" s="29"/>
      <c r="AC69" s="29" t="b">
        <v>1</v>
      </c>
    </row>
    <row r="70" spans="1:29" x14ac:dyDescent="0.2">
      <c r="A70" s="29" t="s">
        <v>115</v>
      </c>
      <c r="B70" s="29" t="s">
        <v>94</v>
      </c>
      <c r="C70" s="29" t="s">
        <v>59</v>
      </c>
      <c r="D70" s="29" t="s">
        <v>275</v>
      </c>
      <c r="E70" s="29" t="s">
        <v>278</v>
      </c>
      <c r="F70" s="29" t="b">
        <v>0</v>
      </c>
      <c r="G70" s="29">
        <v>17</v>
      </c>
      <c r="H70" s="29">
        <v>18</v>
      </c>
      <c r="I70" s="29">
        <v>2</v>
      </c>
      <c r="J70" s="29">
        <v>-46.594000000000001</v>
      </c>
      <c r="K70" s="29">
        <v>97.188010000000006</v>
      </c>
      <c r="L70" s="29">
        <v>98.045159999999996</v>
      </c>
      <c r="M70" s="29">
        <v>98.854439999999997</v>
      </c>
      <c r="N70" s="29">
        <v>20.894259999999999</v>
      </c>
      <c r="O70" s="30">
        <v>1.9599999999999999E-5</v>
      </c>
      <c r="P70" s="29">
        <v>0</v>
      </c>
      <c r="Q70" s="29">
        <v>546</v>
      </c>
      <c r="R70" s="29" t="s">
        <v>209</v>
      </c>
      <c r="S70" s="29" t="s">
        <v>10</v>
      </c>
      <c r="T70" s="29" t="s">
        <v>279</v>
      </c>
      <c r="U70" s="29" t="s">
        <v>274</v>
      </c>
      <c r="V70" s="29">
        <v>16.189019999999999</v>
      </c>
      <c r="W70" s="29">
        <v>0.30110799999999999</v>
      </c>
      <c r="X70" s="29"/>
      <c r="Y70" s="29"/>
      <c r="Z70" s="29"/>
      <c r="AA70" s="29"/>
      <c r="AB70" s="29"/>
      <c r="AC70" s="29" t="b">
        <v>1</v>
      </c>
    </row>
    <row r="71" spans="1:29" x14ac:dyDescent="0.2">
      <c r="A71" s="29" t="s">
        <v>115</v>
      </c>
      <c r="B71" s="29" t="s">
        <v>94</v>
      </c>
      <c r="C71" s="29" t="s">
        <v>59</v>
      </c>
      <c r="D71" s="29" t="s">
        <v>276</v>
      </c>
      <c r="E71" s="29" t="s">
        <v>278</v>
      </c>
      <c r="F71" s="29" t="b">
        <v>0</v>
      </c>
      <c r="G71" s="29">
        <v>17</v>
      </c>
      <c r="H71" s="29">
        <v>18</v>
      </c>
      <c r="I71" s="29">
        <v>3</v>
      </c>
      <c r="J71" s="29">
        <v>-36.571899999999999</v>
      </c>
      <c r="K71" s="29">
        <v>79.143789999999996</v>
      </c>
      <c r="L71" s="29">
        <v>80.989940000000004</v>
      </c>
      <c r="M71" s="29">
        <v>81.643429999999995</v>
      </c>
      <c r="N71" s="29">
        <v>3.8390460000000002</v>
      </c>
      <c r="O71" s="29">
        <v>9.8978999999999998E-2</v>
      </c>
      <c r="P71" s="29">
        <v>0</v>
      </c>
      <c r="Q71" s="29">
        <v>546</v>
      </c>
      <c r="R71" s="29" t="s">
        <v>209</v>
      </c>
      <c r="S71" s="29" t="s">
        <v>10</v>
      </c>
      <c r="T71" s="29" t="s">
        <v>279</v>
      </c>
      <c r="U71" s="29" t="s">
        <v>274</v>
      </c>
      <c r="V71" s="29">
        <v>36.395429999999998</v>
      </c>
      <c r="W71" s="29"/>
      <c r="X71" s="29">
        <v>142.4333</v>
      </c>
      <c r="Y71" s="29">
        <v>-6.1127900000000004</v>
      </c>
      <c r="Z71" s="29"/>
      <c r="AA71" s="29"/>
      <c r="AB71" s="29"/>
      <c r="AC71" s="29" t="b">
        <v>1</v>
      </c>
    </row>
    <row r="72" spans="1:29" x14ac:dyDescent="0.2">
      <c r="A72" s="29" t="s">
        <v>115</v>
      </c>
      <c r="B72" s="29" t="s">
        <v>94</v>
      </c>
      <c r="C72" s="29" t="s">
        <v>59</v>
      </c>
      <c r="D72" s="29" t="s">
        <v>277</v>
      </c>
      <c r="E72" s="29" t="s">
        <v>278</v>
      </c>
      <c r="F72" s="29" t="b">
        <v>0</v>
      </c>
      <c r="G72" s="29">
        <v>17</v>
      </c>
      <c r="H72" s="29">
        <v>18</v>
      </c>
      <c r="I72" s="29">
        <v>4</v>
      </c>
      <c r="J72" s="29">
        <v>-34.002099999999999</v>
      </c>
      <c r="K72" s="29">
        <v>76.004270000000005</v>
      </c>
      <c r="L72" s="29">
        <v>79.337599999999995</v>
      </c>
      <c r="M72" s="29">
        <v>79.337119999999999</v>
      </c>
      <c r="N72" s="29">
        <v>2.186709</v>
      </c>
      <c r="O72" s="29">
        <v>0.22612199999999999</v>
      </c>
      <c r="P72" s="29">
        <v>0</v>
      </c>
      <c r="Q72" s="29">
        <v>546</v>
      </c>
      <c r="R72" s="29" t="s">
        <v>209</v>
      </c>
      <c r="S72" s="29" t="s">
        <v>10</v>
      </c>
      <c r="T72" s="29" t="s">
        <v>279</v>
      </c>
      <c r="U72" s="29" t="s">
        <v>274</v>
      </c>
      <c r="V72" s="29">
        <v>1.78816</v>
      </c>
      <c r="W72" s="29"/>
      <c r="X72" s="29"/>
      <c r="Y72" s="29"/>
      <c r="Z72" s="29">
        <v>3</v>
      </c>
      <c r="AA72" s="29"/>
      <c r="AB72" s="29"/>
      <c r="AC72" s="29" t="b">
        <v>1</v>
      </c>
    </row>
    <row r="73" spans="1:29" x14ac:dyDescent="0.2">
      <c r="A73" s="29" t="s">
        <v>115</v>
      </c>
      <c r="B73" s="29" t="s">
        <v>94</v>
      </c>
      <c r="C73" s="29" t="s">
        <v>59</v>
      </c>
      <c r="D73" s="29" t="s">
        <v>278</v>
      </c>
      <c r="E73" s="29" t="s">
        <v>278</v>
      </c>
      <c r="F73" s="29" t="b">
        <v>1</v>
      </c>
      <c r="G73" s="29">
        <v>17</v>
      </c>
      <c r="H73" s="29">
        <v>18</v>
      </c>
      <c r="I73" s="29">
        <v>5</v>
      </c>
      <c r="J73" s="29">
        <v>-30.848199999999999</v>
      </c>
      <c r="K73" s="29">
        <v>71.696349999999995</v>
      </c>
      <c r="L73" s="29">
        <v>77.150899999999993</v>
      </c>
      <c r="M73" s="29">
        <v>75.86242</v>
      </c>
      <c r="N73" s="29">
        <v>0</v>
      </c>
      <c r="O73" s="29">
        <v>0.67480799999999996</v>
      </c>
      <c r="P73" s="29">
        <v>0</v>
      </c>
      <c r="Q73" s="29">
        <v>546</v>
      </c>
      <c r="R73" s="29" t="s">
        <v>209</v>
      </c>
      <c r="S73" s="29" t="s">
        <v>10</v>
      </c>
      <c r="T73" s="29" t="s">
        <v>279</v>
      </c>
      <c r="U73" s="29" t="s">
        <v>274</v>
      </c>
      <c r="V73" s="29">
        <v>2.7234039999999999</v>
      </c>
      <c r="W73" s="29"/>
      <c r="X73" s="29">
        <v>21.798580000000001</v>
      </c>
      <c r="Y73" s="29">
        <v>-6.7680400000000001</v>
      </c>
      <c r="Z73" s="29"/>
      <c r="AA73" s="29">
        <v>0.560585</v>
      </c>
      <c r="AB73" s="29">
        <v>2.4068390000000002</v>
      </c>
      <c r="AC73" s="29" t="b">
        <v>1</v>
      </c>
    </row>
    <row r="74" spans="1:29" x14ac:dyDescent="0.2">
      <c r="A74" s="29" t="s">
        <v>88</v>
      </c>
      <c r="B74" s="29" t="s">
        <v>8</v>
      </c>
      <c r="C74" s="29" t="s">
        <v>59</v>
      </c>
      <c r="D74" s="29" t="s">
        <v>146</v>
      </c>
      <c r="E74" s="29" t="s">
        <v>146</v>
      </c>
      <c r="F74" s="29" t="b">
        <v>1</v>
      </c>
      <c r="G74" s="29">
        <v>9</v>
      </c>
      <c r="H74" s="29">
        <v>10</v>
      </c>
      <c r="I74" s="29">
        <v>1</v>
      </c>
      <c r="J74" s="29">
        <v>-24.188600000000001</v>
      </c>
      <c r="K74" s="29">
        <v>50.377139999999997</v>
      </c>
      <c r="L74" s="29">
        <v>50.948569999999997</v>
      </c>
      <c r="M74" s="29">
        <v>50.574359999999999</v>
      </c>
      <c r="N74" s="29">
        <v>0</v>
      </c>
      <c r="O74" s="29">
        <v>0.57998300000000003</v>
      </c>
      <c r="P74" s="29">
        <v>0</v>
      </c>
      <c r="Q74" s="29">
        <v>460</v>
      </c>
      <c r="R74" s="29" t="s">
        <v>209</v>
      </c>
      <c r="S74" s="29" t="s">
        <v>28</v>
      </c>
      <c r="T74" s="29" t="s">
        <v>273</v>
      </c>
      <c r="U74" s="29" t="s">
        <v>274</v>
      </c>
      <c r="V74" s="29">
        <v>11.13636</v>
      </c>
      <c r="W74" s="29"/>
      <c r="X74" s="29"/>
      <c r="Y74" s="29"/>
      <c r="Z74" s="29"/>
      <c r="AA74" s="29"/>
      <c r="AB74" s="29"/>
      <c r="AC74" s="29" t="b">
        <v>1</v>
      </c>
    </row>
    <row r="75" spans="1:29" x14ac:dyDescent="0.2">
      <c r="A75" s="29" t="s">
        <v>88</v>
      </c>
      <c r="B75" s="29" t="s">
        <v>8</v>
      </c>
      <c r="C75" s="29" t="s">
        <v>59</v>
      </c>
      <c r="D75" s="29" t="s">
        <v>275</v>
      </c>
      <c r="E75" s="29" t="s">
        <v>146</v>
      </c>
      <c r="F75" s="29" t="b">
        <v>0</v>
      </c>
      <c r="G75" s="29">
        <v>9</v>
      </c>
      <c r="H75" s="29">
        <v>10</v>
      </c>
      <c r="I75" s="29">
        <v>2</v>
      </c>
      <c r="J75" s="29">
        <v>-24.188500000000001</v>
      </c>
      <c r="K75" s="29">
        <v>52.376919999999998</v>
      </c>
      <c r="L75" s="29">
        <v>54.376919999999998</v>
      </c>
      <c r="M75" s="29">
        <v>52.771369999999997</v>
      </c>
      <c r="N75" s="29">
        <v>3.42835</v>
      </c>
      <c r="O75" s="29">
        <v>0.104462</v>
      </c>
      <c r="P75" s="29">
        <v>0</v>
      </c>
      <c r="Q75" s="29">
        <v>460</v>
      </c>
      <c r="R75" s="29" t="s">
        <v>209</v>
      </c>
      <c r="S75" s="29" t="s">
        <v>28</v>
      </c>
      <c r="T75" s="29" t="s">
        <v>273</v>
      </c>
      <c r="U75" s="29" t="s">
        <v>274</v>
      </c>
      <c r="V75" s="29">
        <v>11.13622</v>
      </c>
      <c r="W75" s="29">
        <v>-0.14752999999999999</v>
      </c>
      <c r="X75" s="29"/>
      <c r="Y75" s="29"/>
      <c r="Z75" s="29"/>
      <c r="AA75" s="29"/>
      <c r="AB75" s="29"/>
      <c r="AC75" s="29" t="b">
        <v>1</v>
      </c>
    </row>
    <row r="76" spans="1:29" x14ac:dyDescent="0.2">
      <c r="A76" s="29" t="s">
        <v>88</v>
      </c>
      <c r="B76" s="29" t="s">
        <v>8</v>
      </c>
      <c r="C76" s="29" t="s">
        <v>59</v>
      </c>
      <c r="D76" s="29" t="s">
        <v>276</v>
      </c>
      <c r="E76" s="29" t="s">
        <v>146</v>
      </c>
      <c r="F76" s="29" t="b">
        <v>0</v>
      </c>
      <c r="G76" s="29">
        <v>9</v>
      </c>
      <c r="H76" s="29">
        <v>10</v>
      </c>
      <c r="I76" s="29">
        <v>3</v>
      </c>
      <c r="J76" s="29">
        <v>-20.847100000000001</v>
      </c>
      <c r="K76" s="29">
        <v>47.694270000000003</v>
      </c>
      <c r="L76" s="29">
        <v>52.49427</v>
      </c>
      <c r="M76" s="29">
        <v>48.285939999999997</v>
      </c>
      <c r="N76" s="29">
        <v>1.545703</v>
      </c>
      <c r="O76" s="29">
        <v>0.26777499999999999</v>
      </c>
      <c r="P76" s="29">
        <v>0</v>
      </c>
      <c r="Q76" s="29">
        <v>460</v>
      </c>
      <c r="R76" s="29" t="s">
        <v>209</v>
      </c>
      <c r="S76" s="29" t="s">
        <v>28</v>
      </c>
      <c r="T76" s="29" t="s">
        <v>273</v>
      </c>
      <c r="U76" s="29" t="s">
        <v>274</v>
      </c>
      <c r="V76" s="29">
        <v>68.426079999999999</v>
      </c>
      <c r="W76" s="29"/>
      <c r="X76" s="29">
        <v>388.98410000000001</v>
      </c>
      <c r="Y76" s="29">
        <v>-4.7233400000000003</v>
      </c>
      <c r="Z76" s="29"/>
      <c r="AA76" s="29"/>
      <c r="AB76" s="29"/>
      <c r="AC76" s="29" t="b">
        <v>1</v>
      </c>
    </row>
    <row r="77" spans="1:29" x14ac:dyDescent="0.2">
      <c r="A77" s="29" t="s">
        <v>88</v>
      </c>
      <c r="B77" s="29" t="s">
        <v>8</v>
      </c>
      <c r="C77" s="29" t="s">
        <v>59</v>
      </c>
      <c r="D77" s="29" t="s">
        <v>277</v>
      </c>
      <c r="E77" s="29" t="s">
        <v>146</v>
      </c>
      <c r="F77" s="29" t="b">
        <v>0</v>
      </c>
      <c r="G77" s="29">
        <v>9</v>
      </c>
      <c r="H77" s="29">
        <v>10</v>
      </c>
      <c r="I77" s="29">
        <v>4</v>
      </c>
      <c r="J77" s="29">
        <v>-18.9803</v>
      </c>
      <c r="K77" s="29">
        <v>45.960529999999999</v>
      </c>
      <c r="L77" s="29">
        <v>55.960529999999999</v>
      </c>
      <c r="M77" s="29">
        <v>46.749429999999997</v>
      </c>
      <c r="N77" s="29">
        <v>5.011965</v>
      </c>
      <c r="O77" s="29">
        <v>4.7323999999999998E-2</v>
      </c>
      <c r="P77" s="29">
        <v>0</v>
      </c>
      <c r="Q77" s="29">
        <v>460</v>
      </c>
      <c r="R77" s="29" t="s">
        <v>209</v>
      </c>
      <c r="S77" s="29" t="s">
        <v>28</v>
      </c>
      <c r="T77" s="29" t="s">
        <v>273</v>
      </c>
      <c r="U77" s="29" t="s">
        <v>274</v>
      </c>
      <c r="V77" s="29">
        <v>1.9936750000000001</v>
      </c>
      <c r="W77" s="29"/>
      <c r="X77" s="29"/>
      <c r="Y77" s="29"/>
      <c r="Z77" s="29">
        <v>3</v>
      </c>
      <c r="AA77" s="29"/>
      <c r="AB77" s="29"/>
      <c r="AC77" s="29" t="b">
        <v>1</v>
      </c>
    </row>
    <row r="78" spans="1:29" x14ac:dyDescent="0.2">
      <c r="A78" s="29" t="s">
        <v>88</v>
      </c>
      <c r="B78" s="29" t="s">
        <v>8</v>
      </c>
      <c r="C78" s="29" t="s">
        <v>59</v>
      </c>
      <c r="D78" s="29" t="s">
        <v>278</v>
      </c>
      <c r="E78" s="29" t="s">
        <v>146</v>
      </c>
      <c r="F78" s="29" t="b">
        <v>0</v>
      </c>
      <c r="G78" s="29">
        <v>9</v>
      </c>
      <c r="H78" s="29">
        <v>10</v>
      </c>
      <c r="I78" s="29">
        <v>5</v>
      </c>
      <c r="J78" s="29">
        <v>-17.621099999999998</v>
      </c>
      <c r="K78" s="29">
        <v>45.242159999999998</v>
      </c>
      <c r="L78" s="29">
        <v>65.242159999999998</v>
      </c>
      <c r="M78" s="29">
        <v>46.228290000000001</v>
      </c>
      <c r="N78" s="29">
        <v>14.2936</v>
      </c>
      <c r="O78" s="29">
        <v>4.57E-4</v>
      </c>
      <c r="P78" s="29">
        <v>0</v>
      </c>
      <c r="Q78" s="29">
        <v>460</v>
      </c>
      <c r="R78" s="29" t="s">
        <v>209</v>
      </c>
      <c r="S78" s="29" t="s">
        <v>28</v>
      </c>
      <c r="T78" s="29" t="s">
        <v>273</v>
      </c>
      <c r="U78" s="29" t="s">
        <v>274</v>
      </c>
      <c r="V78" s="29">
        <v>0.78337800000000002</v>
      </c>
      <c r="W78" s="29"/>
      <c r="X78" s="29">
        <v>0.111855</v>
      </c>
      <c r="Y78" s="29">
        <v>4.4861000000000004</v>
      </c>
      <c r="Z78" s="29"/>
      <c r="AA78" s="29">
        <v>0.50102500000000005</v>
      </c>
      <c r="AB78" s="29">
        <v>4.0091599999999996</v>
      </c>
      <c r="AC78" s="29" t="b">
        <v>1</v>
      </c>
    </row>
    <row r="79" spans="1:29" x14ac:dyDescent="0.2">
      <c r="A79" s="29" t="s">
        <v>121</v>
      </c>
      <c r="B79" s="29" t="s">
        <v>94</v>
      </c>
      <c r="C79" s="29" t="s">
        <v>122</v>
      </c>
      <c r="D79" s="29" t="s">
        <v>146</v>
      </c>
      <c r="E79" s="29" t="s">
        <v>276</v>
      </c>
      <c r="F79" s="29" t="b">
        <v>0</v>
      </c>
      <c r="G79" s="29">
        <v>9</v>
      </c>
      <c r="H79" s="29">
        <v>10</v>
      </c>
      <c r="I79" s="29">
        <v>1</v>
      </c>
      <c r="J79" s="29">
        <v>-26.854099999999999</v>
      </c>
      <c r="K79" s="29">
        <v>55.708199999999998</v>
      </c>
      <c r="L79" s="29">
        <v>56.279629999999997</v>
      </c>
      <c r="M79" s="29">
        <v>55.905430000000003</v>
      </c>
      <c r="N79" s="29">
        <v>7.2298330000000002</v>
      </c>
      <c r="O79" s="29">
        <v>2.4171999999999999E-2</v>
      </c>
      <c r="P79" s="29">
        <v>0</v>
      </c>
      <c r="Q79" s="29">
        <v>815</v>
      </c>
      <c r="R79" s="29" t="s">
        <v>209</v>
      </c>
      <c r="S79" s="29" t="s">
        <v>28</v>
      </c>
      <c r="T79" s="29" t="s">
        <v>279</v>
      </c>
      <c r="U79" s="29" t="s">
        <v>274</v>
      </c>
      <c r="V79" s="29">
        <v>11.605840000000001</v>
      </c>
      <c r="W79" s="29"/>
      <c r="X79" s="29"/>
      <c r="Y79" s="29"/>
      <c r="Z79" s="29"/>
      <c r="AA79" s="29"/>
      <c r="AB79" s="29"/>
      <c r="AC79" s="29" t="b">
        <v>1</v>
      </c>
    </row>
    <row r="80" spans="1:29" x14ac:dyDescent="0.2">
      <c r="A80" s="29" t="s">
        <v>121</v>
      </c>
      <c r="B80" s="29" t="s">
        <v>94</v>
      </c>
      <c r="C80" s="29" t="s">
        <v>122</v>
      </c>
      <c r="D80" s="29" t="s">
        <v>275</v>
      </c>
      <c r="E80" s="29" t="s">
        <v>276</v>
      </c>
      <c r="F80" s="29" t="b">
        <v>0</v>
      </c>
      <c r="G80" s="29">
        <v>9</v>
      </c>
      <c r="H80" s="29">
        <v>10</v>
      </c>
      <c r="I80" s="29">
        <v>2</v>
      </c>
      <c r="J80" s="29">
        <v>-26.808499999999999</v>
      </c>
      <c r="K80" s="29">
        <v>57.616959999999999</v>
      </c>
      <c r="L80" s="29">
        <v>59.616959999999999</v>
      </c>
      <c r="M80" s="29">
        <v>58.011409999999998</v>
      </c>
      <c r="N80" s="29">
        <v>10.567159999999999</v>
      </c>
      <c r="O80" s="29">
        <v>4.5560000000000002E-3</v>
      </c>
      <c r="P80" s="29">
        <v>0</v>
      </c>
      <c r="Q80" s="29">
        <v>815</v>
      </c>
      <c r="R80" s="29" t="s">
        <v>209</v>
      </c>
      <c r="S80" s="29" t="s">
        <v>28</v>
      </c>
      <c r="T80" s="29" t="s">
        <v>279</v>
      </c>
      <c r="U80" s="29" t="s">
        <v>274</v>
      </c>
      <c r="V80" s="29">
        <v>11.54716</v>
      </c>
      <c r="W80" s="29">
        <v>-2.34091</v>
      </c>
      <c r="X80" s="29"/>
      <c r="Y80" s="29"/>
      <c r="Z80" s="29"/>
      <c r="AA80" s="29"/>
      <c r="AB80" s="29"/>
      <c r="AC80" s="29" t="b">
        <v>1</v>
      </c>
    </row>
    <row r="81" spans="1:29" x14ac:dyDescent="0.2">
      <c r="A81" s="29" t="s">
        <v>121</v>
      </c>
      <c r="B81" s="29" t="s">
        <v>94</v>
      </c>
      <c r="C81" s="29" t="s">
        <v>122</v>
      </c>
      <c r="D81" s="29" t="s">
        <v>276</v>
      </c>
      <c r="E81" s="29" t="s">
        <v>276</v>
      </c>
      <c r="F81" s="29" t="b">
        <v>1</v>
      </c>
      <c r="G81" s="29">
        <v>9</v>
      </c>
      <c r="H81" s="29">
        <v>10</v>
      </c>
      <c r="I81" s="29">
        <v>3</v>
      </c>
      <c r="J81" s="29">
        <v>-19.1249</v>
      </c>
      <c r="K81" s="29">
        <v>44.2498</v>
      </c>
      <c r="L81" s="29">
        <v>49.049799999999998</v>
      </c>
      <c r="M81" s="29">
        <v>44.841470000000001</v>
      </c>
      <c r="N81" s="29">
        <v>0</v>
      </c>
      <c r="O81" s="29">
        <v>0.897953</v>
      </c>
      <c r="P81" s="29">
        <v>0</v>
      </c>
      <c r="Q81" s="29">
        <v>815</v>
      </c>
      <c r="R81" s="29" t="s">
        <v>209</v>
      </c>
      <c r="S81" s="29" t="s">
        <v>28</v>
      </c>
      <c r="T81" s="29" t="s">
        <v>279</v>
      </c>
      <c r="U81" s="29" t="s">
        <v>274</v>
      </c>
      <c r="V81" s="29">
        <v>31.413</v>
      </c>
      <c r="W81" s="29"/>
      <c r="X81" s="29">
        <v>120.1998</v>
      </c>
      <c r="Y81" s="29">
        <v>-6.1634200000000003</v>
      </c>
      <c r="Z81" s="29"/>
      <c r="AA81" s="29"/>
      <c r="AB81" s="29"/>
      <c r="AC81" s="29" t="b">
        <v>1</v>
      </c>
    </row>
    <row r="82" spans="1:29" x14ac:dyDescent="0.2">
      <c r="A82" s="29" t="s">
        <v>121</v>
      </c>
      <c r="B82" s="29" t="s">
        <v>94</v>
      </c>
      <c r="C82" s="29" t="s">
        <v>122</v>
      </c>
      <c r="D82" s="29" t="s">
        <v>277</v>
      </c>
      <c r="E82" s="29" t="s">
        <v>276</v>
      </c>
      <c r="F82" s="29" t="b">
        <v>0</v>
      </c>
      <c r="G82" s="29">
        <v>9</v>
      </c>
      <c r="H82" s="29">
        <v>10</v>
      </c>
      <c r="I82" s="29">
        <v>4</v>
      </c>
      <c r="J82" s="29">
        <v>-18.3749</v>
      </c>
      <c r="K82" s="29">
        <v>44.74973</v>
      </c>
      <c r="L82" s="29">
        <v>54.74973</v>
      </c>
      <c r="M82" s="29">
        <v>45.538629999999998</v>
      </c>
      <c r="N82" s="29">
        <v>5.6999370000000003</v>
      </c>
      <c r="O82" s="29">
        <v>5.1943000000000003E-2</v>
      </c>
      <c r="P82" s="29">
        <v>0</v>
      </c>
      <c r="Q82" s="29">
        <v>815</v>
      </c>
      <c r="R82" s="29" t="s">
        <v>209</v>
      </c>
      <c r="S82" s="29" t="s">
        <v>28</v>
      </c>
      <c r="T82" s="29" t="s">
        <v>279</v>
      </c>
      <c r="U82" s="29" t="s">
        <v>274</v>
      </c>
      <c r="V82" s="29">
        <v>1.8639790000000001</v>
      </c>
      <c r="W82" s="29"/>
      <c r="X82" s="29"/>
      <c r="Y82" s="29"/>
      <c r="Z82" s="29">
        <v>3</v>
      </c>
      <c r="AA82" s="29"/>
      <c r="AB82" s="29"/>
      <c r="AC82" s="29" t="b">
        <v>1</v>
      </c>
    </row>
    <row r="83" spans="1:29" x14ac:dyDescent="0.2">
      <c r="A83" s="29" t="s">
        <v>121</v>
      </c>
      <c r="B83" s="29" t="s">
        <v>94</v>
      </c>
      <c r="C83" s="29" t="s">
        <v>122</v>
      </c>
      <c r="D83" s="29" t="s">
        <v>278</v>
      </c>
      <c r="E83" s="29" t="s">
        <v>276</v>
      </c>
      <c r="F83" s="29" t="b">
        <v>0</v>
      </c>
      <c r="G83" s="29">
        <v>9</v>
      </c>
      <c r="H83" s="29">
        <v>10</v>
      </c>
      <c r="I83" s="29">
        <v>5</v>
      </c>
      <c r="J83" s="29">
        <v>-13.2628</v>
      </c>
      <c r="K83" s="29">
        <v>36.525550000000003</v>
      </c>
      <c r="L83" s="29">
        <v>56.525550000000003</v>
      </c>
      <c r="M83" s="29">
        <v>37.511679999999998</v>
      </c>
      <c r="N83" s="29">
        <v>7.475759</v>
      </c>
      <c r="O83" s="29">
        <v>2.1375000000000002E-2</v>
      </c>
      <c r="P83" s="29">
        <v>0</v>
      </c>
      <c r="Q83" s="29">
        <v>815</v>
      </c>
      <c r="R83" s="29" t="s">
        <v>209</v>
      </c>
      <c r="S83" s="29" t="s">
        <v>28</v>
      </c>
      <c r="T83" s="29" t="s">
        <v>279</v>
      </c>
      <c r="U83" s="29" t="s">
        <v>274</v>
      </c>
      <c r="V83" s="29">
        <v>16.37734</v>
      </c>
      <c r="W83" s="29"/>
      <c r="X83" s="29">
        <v>403.42880000000002</v>
      </c>
      <c r="Y83" s="29">
        <v>-6.85745</v>
      </c>
      <c r="Z83" s="29"/>
      <c r="AA83" s="29">
        <v>0.14391899999999999</v>
      </c>
      <c r="AB83" s="29">
        <v>5.4340219999999997</v>
      </c>
      <c r="AC83" s="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Supplementary_Information_Guide</vt:lpstr>
      <vt:lpstr>Sim_Params</vt:lpstr>
      <vt:lpstr>Clinical_Data</vt:lpstr>
      <vt:lpstr>Group_Summary</vt:lpstr>
      <vt:lpstr>Disease_Summary</vt:lpstr>
      <vt:lpstr>Simulation_Summary</vt:lpstr>
      <vt:lpstr>Patient_Outputs</vt:lpstr>
      <vt:lpstr>Lineage_Metrics_Summary</vt:lpstr>
      <vt:lpstr>Case_Level_Model_Comparison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Kim</dc:creator>
  <cp:lastModifiedBy>Seung-Hwan Kim</cp:lastModifiedBy>
  <dcterms:created xsi:type="dcterms:W3CDTF">2025-10-20T16:09:38Z</dcterms:created>
  <dcterms:modified xsi:type="dcterms:W3CDTF">2026-05-21T22:34:52Z</dcterms:modified>
</cp:coreProperties>
</file>