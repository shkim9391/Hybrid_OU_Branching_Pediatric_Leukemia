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Hybrid_OU_Branching_Pediatric_Leukemia/iScience/Revision/Revision Package/"/>
    </mc:Choice>
  </mc:AlternateContent>
  <xr:revisionPtr revIDLastSave="0" documentId="13_ncr:1_{F84326CF-009E-6840-9A22-6DF151754F9D}" xr6:coauthVersionLast="47" xr6:coauthVersionMax="47" xr10:uidLastSave="{00000000-0000-0000-0000-000000000000}"/>
  <bookViews>
    <workbookView xWindow="0" yWindow="520" windowWidth="22940" windowHeight="13540" firstSheet="3" activeTab="7" xr2:uid="{B09B8C7A-FE1C-7045-A7B8-1047EF4811E4}"/>
  </bookViews>
  <sheets>
    <sheet name="Sim_Params" sheetId="4" r:id="rId1"/>
    <sheet name="Clinical_Data" sheetId="1" r:id="rId2"/>
    <sheet name="Group_Summary" sheetId="2" r:id="rId3"/>
    <sheet name="Disease_Summary" sheetId="3" r:id="rId4"/>
    <sheet name="Simulation_Summary" sheetId="7" r:id="rId5"/>
    <sheet name="Patient_Outputs" sheetId="5" r:id="rId6"/>
    <sheet name="Lineage_Metrics_Summary" sheetId="6" r:id="rId7"/>
    <sheet name="Case_Level_Model_Comparison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<sst xmlns="http://schemas.openxmlformats.org/spreadsheetml/2006/main" count="897" uniqueCount="217">
  <si>
    <t>Patient_ID</t>
  </si>
  <si>
    <t>Disease</t>
  </si>
  <si>
    <t>Group</t>
  </si>
  <si>
    <t>FusionGeneatDiagnosis</t>
  </si>
  <si>
    <t>FusionGeneatRelapse</t>
  </si>
  <si>
    <t>Karyotype Diagnosis</t>
  </si>
  <si>
    <t>Karyotype R</t>
  </si>
  <si>
    <t>P15</t>
  </si>
  <si>
    <t>B-ALL</t>
  </si>
  <si>
    <t>Remission</t>
  </si>
  <si>
    <t>KMT2A::MLLT3</t>
  </si>
  <si>
    <t>na</t>
  </si>
  <si>
    <t>47-48,XY,t(9;11)(p22;q23)+1-2mar</t>
  </si>
  <si>
    <t>P16</t>
  </si>
  <si>
    <t>KMT2A::AFF1</t>
  </si>
  <si>
    <t>46,XY,t(4;11)(q21;q23)[18]/46,XY[7]</t>
  </si>
  <si>
    <t>P19</t>
  </si>
  <si>
    <t>KMT2A::ACIN1</t>
  </si>
  <si>
    <t>46,XX,ins(11;14)(q23;q?),-14,+mar.ish.del(9)(p21p21)</t>
  </si>
  <si>
    <t>P2</t>
  </si>
  <si>
    <t>KMT2A::MLLT1</t>
  </si>
  <si>
    <t>46,XX,t(11;19)(q23;p13)[14]</t>
  </si>
  <si>
    <t>P26</t>
  </si>
  <si>
    <t>46,XX,t(11;?19)(q23;?)/46,XX</t>
  </si>
  <si>
    <t>P29</t>
  </si>
  <si>
    <t>46,XY,t(9;11)(p21;q23)</t>
  </si>
  <si>
    <t>P1</t>
  </si>
  <si>
    <t>MPAL</t>
  </si>
  <si>
    <t>KMT2A::MLLT10</t>
  </si>
  <si>
    <t>46,XX,del(10)(p11),der(11)inv(11)(q13q23)del(11)(q13),der(14)t(11;14)(q13;q32)t(10;11)(?;q23)[14]/46,XX[11]</t>
  </si>
  <si>
    <t>P123</t>
  </si>
  <si>
    <t>Very early</t>
  </si>
  <si>
    <t>KMT2A::EPS15</t>
  </si>
  <si>
    <t>46,XX,t(1;11)(p32;q23)[21]/46,XX,[1]</t>
  </si>
  <si>
    <t>-</t>
  </si>
  <si>
    <t>P126</t>
  </si>
  <si>
    <t>46,XY,t(11;19)(q23;013.3)[7]/46XY[3]</t>
  </si>
  <si>
    <t>P127</t>
  </si>
  <si>
    <t>46,XX,t(4;11)(q21;q23)[13]/46,XX[2]</t>
  </si>
  <si>
    <t>P128</t>
  </si>
  <si>
    <t>46,XX?t(9;11)(P21;q23)[1],ISHt(9;11)(P21;q23)(3'MLL+;5'MLL+,3'MLL-)[11]/46,XX[19],NUCISH(MLLX2)(5'MLLSEP3'MLLX1)[181/200]</t>
  </si>
  <si>
    <t>P129</t>
  </si>
  <si>
    <t>P11</t>
  </si>
  <si>
    <t>46,XY,del(11)(q23),der(19)t(11;19)(q23;?)[15]/46,XY,der(1)ins(1;11)(p36;q13q23),del(3)(q13),der(11)t(3;11)(q13;q13),der(19)t(11;19)(q23;?)[6]/46,XY[4]</t>
  </si>
  <si>
    <t>??XY[2%],??XX[95%]</t>
  </si>
  <si>
    <t>P12</t>
  </si>
  <si>
    <t>46,XX,t(11;19)(q23;p13)</t>
  </si>
  <si>
    <t>??,?X,der(11)(q23)[11.6%]/??,?X[87.7%]</t>
  </si>
  <si>
    <t>P89</t>
  </si>
  <si>
    <t>46,XY,t(9;11)(p?13;q23)[2]/45,idem,del(3)(p?),t(3;11)(q?;q1?3),der(7)t(7;11)(p?;p?),-13[5]/46,XY[3]</t>
  </si>
  <si>
    <t>P28</t>
  </si>
  <si>
    <t>Very early/refractory</t>
  </si>
  <si>
    <t>46,XX,t(4;11)(q21;q23),inc[4]/46,XX[2]</t>
  </si>
  <si>
    <t>RL1:46,XX,t(4;11)(q21;q23)[5]/46,idem,del(6)(p22),del(7)(q32),-20,+mar[14]&amp;RL2:46,XX,t(4;11)(q21;q23)[3]/46,idem,add(6)(p21),add(7)(q22),der(20)t(7;20)(q22;q13)[9]</t>
  </si>
  <si>
    <t>P135</t>
  </si>
  <si>
    <t>46,XY,t(4;11)(q21;q23)</t>
  </si>
  <si>
    <t>P136</t>
  </si>
  <si>
    <t>46,XX,t(11;19)(q23;p13.3)</t>
  </si>
  <si>
    <t>P22</t>
  </si>
  <si>
    <t>Early</t>
  </si>
  <si>
    <t>46,XY,t(4;11)(q21;q23)[3]PB</t>
  </si>
  <si>
    <t>P56</t>
  </si>
  <si>
    <t>46,XY,t(10;11)(q25;q23)[2]/46,XY</t>
  </si>
  <si>
    <t>P121</t>
  </si>
  <si>
    <t>45~46,XY,del(1)(p2?2p3?6)[2],t(4;11)(q21;q23),der(7;17)(q10;q10),+mar[cp4]/46,XY[10]/46,XY,inc[8]</t>
  </si>
  <si>
    <t>P122</t>
  </si>
  <si>
    <t>P124</t>
  </si>
  <si>
    <t>46,XY,t(4,11)(q21,q23)[8]/46,XY[12]</t>
  </si>
  <si>
    <t>P125</t>
  </si>
  <si>
    <t>P130</t>
  </si>
  <si>
    <t>not known</t>
  </si>
  <si>
    <t>P133</t>
  </si>
  <si>
    <t>t(4;11)(q21:q23.3)</t>
  </si>
  <si>
    <t>P3</t>
  </si>
  <si>
    <t>46,XX,t(4;11)(q21;q23)[20]/46,XX[5]</t>
  </si>
  <si>
    <t>46,XX,t(4;11)(q21;q23),add(7)(p14)[23]</t>
  </si>
  <si>
    <t>P47</t>
  </si>
  <si>
    <t>46,XX,t(11;19)(q23;13.3)[1]/47,idem,+X[23]/46,XX[4]</t>
  </si>
  <si>
    <t>P17</t>
  </si>
  <si>
    <t>KMT2A::GAS7</t>
  </si>
  <si>
    <t>46,XX,t(11;17)(q23;p13)[25]</t>
  </si>
  <si>
    <t>??,?X,der(11)(q23)[94.4%]/??,?X[3.9%]</t>
  </si>
  <si>
    <t>P57</t>
  </si>
  <si>
    <t>45-47,XX,+X,t(4;11)(q21;q23),inc[24]/46,XX[7]</t>
  </si>
  <si>
    <t>47,XX,+X,t(4;11)(q21;q23),i(7)(q10)[11]/48,idem,+mar[4]/46,XX[14]</t>
  </si>
  <si>
    <t>P58</t>
  </si>
  <si>
    <t>T-ALL</t>
  </si>
  <si>
    <t>46,XX,t(4;11)(q21;q23)[12]/46,idem,del(6)(q21)[10]</t>
  </si>
  <si>
    <t>P69</t>
  </si>
  <si>
    <t>46,XX,der(10)t(10;11)(p?;q?)[7]</t>
  </si>
  <si>
    <t>P137</t>
  </si>
  <si>
    <t>P138</t>
  </si>
  <si>
    <t>KMT2A::RELA</t>
  </si>
  <si>
    <t>P108</t>
  </si>
  <si>
    <t>AML</t>
  </si>
  <si>
    <t>46,XX,der(6)del(6)(p21p24)ins(6;10)(p21;?)ins(6;11)(p21;q23q?),der(10)del(10)t(10;11),der(11)del(11)(q23)t(10;11)[18]/46,XX[7]</t>
  </si>
  <si>
    <t>P27</t>
  </si>
  <si>
    <t>46,XX,t(9;11)(p22;q23)[2]/47,idem,+8[22]</t>
  </si>
  <si>
    <t>P7</t>
  </si>
  <si>
    <t>48,XY,t(10;11)(p12;q23),+19,+21/46,XY,add(12)(p13)</t>
  </si>
  <si>
    <t>P8</t>
  </si>
  <si>
    <t>46,XY,t(9;11)(p21;q23)[25]</t>
  </si>
  <si>
    <t>P77</t>
  </si>
  <si>
    <t>46,XX,der(2)t(1;2)(q23.3;q37),der(6)t(6;17)(p25;q21.32)[12]/47,XX,+mar[7].ish.t(9;11)(p21;q23)/46,XX[1]</t>
  </si>
  <si>
    <t>46XX, t(8;15)(p21;q22), t(11;19)(q23;p13)</t>
  </si>
  <si>
    <t>P70</t>
  </si>
  <si>
    <t>KMT2A::AFDN</t>
  </si>
  <si>
    <t>46,XX,t(6;11)(q27;q23)[21]	46;XX,t(6;11)(q27;q23)[17] /47,idem,+21[3]</t>
  </si>
  <si>
    <t>46;XX,t(6;11)(q27;q23)[17] /47,idem,+21[3]</t>
  </si>
  <si>
    <t>P110</t>
  </si>
  <si>
    <t>46,XX,t(10;11)(p12;q23),der(21)del(21)(q22q22)dup(21)(q22q22)[16]/46,idem,del(9)(q21q34)[9]</t>
  </si>
  <si>
    <t>R1: ??,?X,der(11)(q23),+der(11)(q23)(16,7%)/??,?X(83,3%), R2: ??,?X,der(11)(q23),+der(11)(q23)(55,2%)/??,?X(40,8%)</t>
  </si>
  <si>
    <t>P23</t>
  </si>
  <si>
    <t>44,XX,ins(3;9)(q2?6;?),der(4)t(4;11)(p16;p11)t(4;11)(q21;q23),der(9)t(4;9)(q21;p1?3),der(11;17)(q10;q10)dup(11)(q?q?)t(9;11)(p2?2;q23),der(12;15)(q10;q10)[23]</t>
  </si>
  <si>
    <t>2006-10-13 (78): 43,XX,ins(3;9)(q2?6;?),der(4)t(4;11)(p16;p11)t(4;11)(q21;q23),der(9)t(4;9)(q21;p1?3),-10,der(11;17)(q10;q10)dup(11)(q?q?)t(9;11)(p2?2;q23),der(12;15)(q10;q10)[5]/46,XX[19] ; 2006-12-06 (132): 44,XX,der(1)t(1;1)(p35;q44),ins(3;9)(q2?6;?),der(4)t(4;11)(p16;p11)t(4;11)(q21;q23),add(7)(q36),add(8)(p11),der(9)t(4;9)(q21;p1?3),-10,der(11;17)(q10;q10)dup(11)(q?q?)t(9;11)(p2?2;q23),der(12;15)(q10;q10)+mar[25] ; ??,?X,der(11)(q23)[80,2%]/??,?X[14,6%]</t>
  </si>
  <si>
    <t>P63</t>
  </si>
  <si>
    <t>46,XX[14].ish.pcr.t(9;11)(p21;q23)</t>
  </si>
  <si>
    <t>46,XX,add(11)q?)[5] / 46,XX,del(1)(q?),add(11)(p?)[2]</t>
  </si>
  <si>
    <t>P68</t>
  </si>
  <si>
    <t>Early/refractory</t>
  </si>
  <si>
    <t>45,XX,del(1)(p31),der(10)t(10;11)(p12;q23),del(11)(q23),der(21)t(1;21)(p31;p?) MLL/AF10 positive</t>
  </si>
  <si>
    <t>P83</t>
  </si>
  <si>
    <t>Late</t>
  </si>
  <si>
    <t>45,XY,-7,t(10;11)(p12;q23)[13]</t>
  </si>
  <si>
    <t>46,XY,t(1;9)(q22;p23),t(3;18)(q25;p11.2),t(9;11)(p21;q23)[25]</t>
  </si>
  <si>
    <t>P100</t>
  </si>
  <si>
    <t>46,XY,t(9;11)(p22;q23)[9]/46,XX[2]</t>
  </si>
  <si>
    <t>46,XY,del(1)(p36),del(6)(q22),t(9;11)(p22;q23),inv(16)(p?q?[17]</t>
  </si>
  <si>
    <t>P95</t>
  </si>
  <si>
    <t>47,XY,t(9;11)(p21;q23),+19[25]</t>
  </si>
  <si>
    <t>P99</t>
  </si>
  <si>
    <t>46,XX,t(9;11)(p22;q23) [16]/47,idem,+9[9]</t>
  </si>
  <si>
    <t>50,XX,del(3)(p?21),+8,+8,t(9;11)(p22;q23),der(9)t(9;11),add(12)(p11.2),+18[22]/</t>
  </si>
  <si>
    <t>P24</t>
  </si>
  <si>
    <t>KMT2A::ELL</t>
  </si>
  <si>
    <t>46,XX,t(8;15)(p21;q22),t(11;19)(q23;p13)[23]/46,XX,[2]</t>
  </si>
  <si>
    <t>P30</t>
  </si>
  <si>
    <t>49,XY,+4,+der(6)t(6;11)(q27;q23),t(6;11),+10,dup(11)(p11p15)/50-52,idem,+21,+21/47,idem,-4,der(12)t(12;15)(p12;q22),add(13)(p11),-15[9]/46,XY[2]</t>
  </si>
  <si>
    <t>R1: 6-47,XY,t(6;11)(q27;q23),+der(6)t(6;11)(q27;q23),-7,+10,add(12)(p11)[12]/51-52,XY,+4,t(6;11)(q27;q23),+der(6)t(6;11)(q27;q23),+10,+21,+21[4]/46,XY[2], R2:47,XY,t(6;11)(q27;q23),+der(6)t(6;11)(q27;q23),-7,+10,add(12)(p11)[19]/49-51,idem,+2-3mar[2]/46,XY[4], R3: 47,XY,t(6;11)(q27;q23),+der(6)t(6;11)(q27;q23),-7,+10,add(12)(p11)[23]/46,XY[2], R4: 47,XY,t(6;11)(q27;q23),+der(6)t(6;11)(q27;q23),der(7)t(7;12)(p11;q11),+10[25]</t>
  </si>
  <si>
    <t>P32</t>
  </si>
  <si>
    <t>46XY,t(9;11)(p22q23)(3/47,idem,der(1)(p?),+del(1)(q21)(2)/46XY(7)</t>
  </si>
  <si>
    <t>P59</t>
  </si>
  <si>
    <t>47,XY,t(9;11)(p21;q23),+der(9)t(9;11)</t>
  </si>
  <si>
    <t>Parameter</t>
  </si>
  <si>
    <t>Description</t>
  </si>
  <si>
    <t>OU–branching</t>
  </si>
  <si>
    <t>Brownian</t>
  </si>
  <si>
    <t>Markov</t>
  </si>
  <si>
    <t>θ</t>
  </si>
  <si>
    <t>Selection (drift) strength</t>
  </si>
  <si>
    <t>–</t>
  </si>
  <si>
    <t>μ</t>
  </si>
  <si>
    <t>Adaptive equilibrium</t>
  </si>
  <si>
    <t>σ</t>
  </si>
  <si>
    <t>Diffusion coefficient</t>
  </si>
  <si>
    <t>λ</t>
  </si>
  <si>
    <t>Branching / transition rate</t>
  </si>
  <si>
    <t>η</t>
  </si>
  <si>
    <t>Branching perturbation SD</t>
  </si>
  <si>
    <t>Δt</t>
  </si>
  <si>
    <t>Time step</t>
  </si>
  <si>
    <t>T</t>
  </si>
  <si>
    <t>Total duration</t>
  </si>
  <si>
    <t>n</t>
  </si>
  <si>
    <t>Max lineages</t>
  </si>
  <si>
    <t>Seed</t>
  </si>
  <si>
    <t>Random generator</t>
  </si>
  <si>
    <t xml:space="preserve">Patient_ID </t>
  </si>
  <si>
    <t>unique identifier from Ahlgren et al. dataset.</t>
  </si>
  <si>
    <t>disease subtype (B‑ALL, T‑ALL, MPAL, AML).</t>
  </si>
  <si>
    <t xml:space="preserve">Group </t>
  </si>
  <si>
    <t>relapse category (very early, early, late, remission).</t>
  </si>
  <si>
    <t xml:space="preserve">Duration_years </t>
  </si>
  <si>
    <t>scaled simulation duration based on relapse timing</t>
  </si>
  <si>
    <t xml:space="preserve">Final_Clone_Count </t>
  </si>
  <si>
    <t>number of surviving lineages at simulation end</t>
  </si>
  <si>
    <t xml:space="preserve">Final_Trait </t>
  </si>
  <si>
    <t>terminal phenotypic state X(T) averaged across surviving clones</t>
  </si>
  <si>
    <r>
      <t>*Clinical metadata were obtained from SuppData1_ClinicalData</t>
    </r>
    <r>
      <rPr>
        <i/>
        <sz val="11"/>
        <color rgb="FF0E101A"/>
        <rFont val="Arial"/>
        <family val="2"/>
      </rPr>
      <t xml:space="preserve"> </t>
    </r>
    <r>
      <rPr>
        <sz val="11"/>
        <color rgb="FF0E101A"/>
        <rFont val="Arial"/>
        <family val="2"/>
      </rPr>
      <t xml:space="preserve">of Ahlgren et al., Nature Communications (2025, 16:8964). </t>
    </r>
  </si>
  <si>
    <r>
      <rPr>
        <b/>
        <sz val="11"/>
        <rFont val="Arial"/>
        <family val="2"/>
      </rPr>
      <t>Supplementary Table S3:</t>
    </r>
    <r>
      <rPr>
        <sz val="11"/>
        <rFont val="Arial"/>
        <family val="2"/>
      </rPr>
      <t xml:space="preserve"> Group‑level summary of simulated clonal and trait outcomes in Fig 2 simulations</t>
    </r>
  </si>
  <si>
    <r>
      <rPr>
        <b/>
        <sz val="11"/>
        <rFont val="Arial"/>
        <family val="2"/>
      </rPr>
      <t>Supplementary Table S4:</t>
    </r>
    <r>
      <rPr>
        <sz val="11"/>
        <rFont val="Arial"/>
        <family val="2"/>
      </rPr>
      <t xml:space="preserve"> Disease‑level summary of simulated clonal and trait outcomes in Fig 2 simulations</t>
    </r>
  </si>
  <si>
    <r>
      <t xml:space="preserve">Supplementary Table S1: </t>
    </r>
    <r>
      <rPr>
        <sz val="11"/>
        <color theme="1"/>
        <rFont val="Arial"/>
        <family val="2"/>
      </rPr>
      <t>Simulation parameters for Fig 1 models</t>
    </r>
  </si>
  <si>
    <r>
      <rPr>
        <b/>
        <sz val="11"/>
        <rFont val="Arial"/>
        <family val="2"/>
      </rPr>
      <t>Supplementary Table S2:</t>
    </r>
    <r>
      <rPr>
        <sz val="11"/>
        <rFont val="Arial"/>
        <family val="2"/>
      </rPr>
      <t xml:space="preserve"> Clinical Data*</t>
    </r>
  </si>
  <si>
    <t>final_clones</t>
  </si>
  <si>
    <t>total_clones</t>
  </si>
  <si>
    <t>branch_events</t>
  </si>
  <si>
    <t>max_depth</t>
  </si>
  <si>
    <t>Final_Clone_Count</t>
  </si>
  <si>
    <t>Final_Trait</t>
  </si>
  <si>
    <t>Duration_years</t>
  </si>
  <si>
    <r>
      <rPr>
        <b/>
        <sz val="11"/>
        <rFont val="Arial"/>
        <family val="2"/>
      </rPr>
      <t>Supplementary Table S5:</t>
    </r>
    <r>
      <rPr>
        <sz val="11"/>
        <rFont val="Arial"/>
        <family val="2"/>
      </rPr>
      <t xml:space="preserve"> Simulation summary in Fig 2 simulations</t>
    </r>
  </si>
  <si>
    <r>
      <rPr>
        <b/>
        <sz val="11"/>
        <rFont val="Arial"/>
        <family val="2"/>
      </rPr>
      <t>Supplementary Table S6:</t>
    </r>
    <r>
      <rPr>
        <sz val="11"/>
        <rFont val="Arial"/>
        <family val="2"/>
      </rPr>
      <t xml:space="preserve"> Patient‑level simulation outputs in Fig 2 simulations</t>
    </r>
  </si>
  <si>
    <r>
      <rPr>
        <b/>
        <sz val="11"/>
        <rFont val="Arial"/>
        <family val="2"/>
      </rPr>
      <t>Supplementary Table S7:</t>
    </r>
    <r>
      <rPr>
        <sz val="11"/>
        <rFont val="Arial"/>
        <family val="2"/>
      </rPr>
      <t xml:space="preserve"> Lineage metrics summary</t>
    </r>
  </si>
  <si>
    <r>
      <rPr>
        <b/>
        <sz val="11"/>
        <rFont val="Arial"/>
        <family val="2"/>
      </rPr>
      <t>Supplementary Table S8:</t>
    </r>
    <r>
      <rPr>
        <sz val="11"/>
        <rFont val="Arial"/>
        <family val="2"/>
      </rPr>
      <t xml:space="preserve"> Case-Level Model Comparison</t>
    </r>
  </si>
  <si>
    <t>Patient</t>
  </si>
  <si>
    <t>n_timepoints</t>
  </si>
  <si>
    <t>min_day</t>
  </si>
  <si>
    <t>max_day</t>
  </si>
  <si>
    <t>n_variants_median</t>
  </si>
  <si>
    <t>mean_vaf_diagnosis</t>
  </si>
  <si>
    <t>mean_vaf_final</t>
  </si>
  <si>
    <t>Infant/Child</t>
  </si>
  <si>
    <t>Survival</t>
  </si>
  <si>
    <t>best_model</t>
  </si>
  <si>
    <t>best_AICc</t>
  </si>
  <si>
    <t>best_weight</t>
  </si>
  <si>
    <t>delta_AICc_Brownian</t>
  </si>
  <si>
    <t>delta_AICc_Branching-only drift</t>
  </si>
  <si>
    <t>delta_AICc_OU</t>
  </si>
  <si>
    <t>delta_AICc_Markov-emission</t>
  </si>
  <si>
    <t>delta_AICc_OU-Branching jump</t>
  </si>
  <si>
    <t>Infant</t>
  </si>
  <si>
    <t>Passed</t>
  </si>
  <si>
    <t>Child</t>
  </si>
  <si>
    <t>OU</t>
  </si>
  <si>
    <t>Alive</t>
  </si>
  <si>
    <t>OU-Branching jump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</si>
</sst>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1"/>
      <color theme="3"/>
      <name val="Arial"/>
      <family val="2"/>
    </font>
    <font>
      <sz val="10"/>
      <color indexed="8"/>
      <name val="Arial"/>
      <family val="2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2"/>
      <name val="Aptos Narrow"/>
      <family val="2"/>
      <scheme val="minor"/>
    </font>
    <font>
      <i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E101A"/>
      <name val="Arial"/>
      <family val="2"/>
    </font>
    <font>
      <i/>
      <sz val="11"/>
      <color rgb="FF0E101A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4" fillId="0" borderId="1" xfId="0" applyFont="1" applyBorder="1"/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7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7" fillId="0" borderId="0" xfId="0" applyFont="1"/>
    <xf numFmtId="0" fontId="5" fillId="0" borderId="0" xfId="1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8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3" fillId="0" borderId="0" xfId="0" applyFont="1"/>
    <xf numFmtId="0" fontId="13" fillId="0" borderId="0" xfId="0" applyFont="1"/>
    <xf numFmtId="0" fontId="16" fillId="0" borderId="0" xfId="0" applyFont="1"/>
    <xf numFmtId="0" fontId="15" fillId="0" borderId="0" xfId="0" applyFont="1"/>
    <xf numFmtId="0" fontId="16" fillId="0" borderId="1" xfId="0" applyFont="1" applyBorder="1"/>
  </cellXfs>
  <cellStyles count="2">
    <cellStyle name="Normal" xfId="0" builtinId="0"/>
    <cellStyle name="Normal_Sheet2" xfId="1" xr:uid="{05FDEAF9-A8F3-C24A-A6E9-5EA44E98395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7BAF-6C4F-2D4A-A056-91AA627A359D}">
  <dimension ref="A1:E13"/>
  <sheetViews>
    <sheetView workbookViewId="0"/>
  </sheetViews>
  <sheetFormatPr baseColWidth="10" defaultRowHeight="16" x14ac:dyDescent="0.2"/>
  <cols>
    <col min="2" max="2" width="12.1640625" customWidth="1"/>
    <col min="3" max="3" width="13.5" customWidth="1"/>
  </cols>
  <sheetData>
    <row r="1" spans="1:5" x14ac:dyDescent="0.2">
      <c r="A1" s="13" t="s">
        <v>181</v>
      </c>
      <c r="B1" s="15"/>
      <c r="C1" s="15"/>
      <c r="D1" s="15"/>
      <c r="E1" s="15"/>
    </row>
    <row r="2" spans="1:5" x14ac:dyDescent="0.2">
      <c r="A2" s="15"/>
      <c r="B2" s="15"/>
      <c r="C2" s="15"/>
      <c r="D2" s="15"/>
      <c r="E2" s="15"/>
    </row>
    <row r="3" spans="1:5" x14ac:dyDescent="0.2">
      <c r="A3" s="15"/>
      <c r="B3" s="15"/>
      <c r="C3" s="15"/>
      <c r="D3" s="15"/>
      <c r="E3" s="15"/>
    </row>
    <row r="4" spans="1:5" ht="31" thickBot="1" x14ac:dyDescent="0.25">
      <c r="A4" s="16" t="s">
        <v>143</v>
      </c>
      <c r="B4" s="16" t="s">
        <v>144</v>
      </c>
      <c r="C4" s="16" t="s">
        <v>145</v>
      </c>
      <c r="D4" s="16" t="s">
        <v>146</v>
      </c>
      <c r="E4" s="16" t="s">
        <v>147</v>
      </c>
    </row>
    <row r="5" spans="1:5" ht="46" thickTop="1" x14ac:dyDescent="0.2">
      <c r="A5" s="17" t="s">
        <v>148</v>
      </c>
      <c r="B5" s="18" t="s">
        <v>149</v>
      </c>
      <c r="C5" s="19">
        <v>1</v>
      </c>
      <c r="D5" s="19">
        <v>0</v>
      </c>
      <c r="E5" s="19" t="s">
        <v>150</v>
      </c>
    </row>
    <row r="6" spans="1:5" ht="30" x14ac:dyDescent="0.2">
      <c r="A6" s="17" t="s">
        <v>151</v>
      </c>
      <c r="B6" s="18" t="s">
        <v>152</v>
      </c>
      <c r="C6" s="19">
        <v>0</v>
      </c>
      <c r="D6" s="19" t="s">
        <v>150</v>
      </c>
      <c r="E6" s="19" t="s">
        <v>150</v>
      </c>
    </row>
    <row r="7" spans="1:5" ht="30" x14ac:dyDescent="0.2">
      <c r="A7" s="17" t="s">
        <v>153</v>
      </c>
      <c r="B7" s="18" t="s">
        <v>154</v>
      </c>
      <c r="C7" s="19">
        <v>0.25</v>
      </c>
      <c r="D7" s="19">
        <v>0.25</v>
      </c>
      <c r="E7" s="19" t="s">
        <v>150</v>
      </c>
    </row>
    <row r="8" spans="1:5" ht="30" x14ac:dyDescent="0.2">
      <c r="A8" s="17" t="s">
        <v>155</v>
      </c>
      <c r="B8" s="18" t="s">
        <v>156</v>
      </c>
      <c r="C8" s="19">
        <v>0.3</v>
      </c>
      <c r="D8" s="19" t="s">
        <v>150</v>
      </c>
      <c r="E8" s="19">
        <v>0.3</v>
      </c>
    </row>
    <row r="9" spans="1:5" ht="45" x14ac:dyDescent="0.2">
      <c r="A9" s="17" t="s">
        <v>157</v>
      </c>
      <c r="B9" s="18" t="s">
        <v>158</v>
      </c>
      <c r="C9" s="19">
        <v>0.05</v>
      </c>
      <c r="D9" s="19" t="s">
        <v>150</v>
      </c>
      <c r="E9" s="19" t="s">
        <v>150</v>
      </c>
    </row>
    <row r="10" spans="1:5" x14ac:dyDescent="0.2">
      <c r="A10" s="17" t="s">
        <v>159</v>
      </c>
      <c r="B10" s="18" t="s">
        <v>160</v>
      </c>
      <c r="C10" s="19">
        <v>0.01</v>
      </c>
      <c r="D10" s="19">
        <v>0.01</v>
      </c>
      <c r="E10" s="19">
        <v>0.01</v>
      </c>
    </row>
    <row r="11" spans="1:5" x14ac:dyDescent="0.2">
      <c r="A11" s="17" t="s">
        <v>161</v>
      </c>
      <c r="B11" s="18" t="s">
        <v>162</v>
      </c>
      <c r="C11" s="19">
        <v>10</v>
      </c>
      <c r="D11" s="19">
        <v>10</v>
      </c>
      <c r="E11" s="19">
        <v>10</v>
      </c>
    </row>
    <row r="12" spans="1:5" x14ac:dyDescent="0.2">
      <c r="A12" s="17" t="s">
        <v>163</v>
      </c>
      <c r="B12" s="18" t="s">
        <v>164</v>
      </c>
      <c r="C12" s="19">
        <v>10</v>
      </c>
      <c r="D12" s="19" t="s">
        <v>150</v>
      </c>
      <c r="E12" s="19" t="s">
        <v>150</v>
      </c>
    </row>
    <row r="13" spans="1:5" ht="30" x14ac:dyDescent="0.2">
      <c r="A13" s="18" t="s">
        <v>165</v>
      </c>
      <c r="B13" s="18" t="s">
        <v>166</v>
      </c>
      <c r="C13" s="19">
        <v>42</v>
      </c>
      <c r="D13" s="19">
        <v>42</v>
      </c>
      <c r="E13" s="19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6373-E7FE-D84E-B641-8DAA12A06DBC}">
  <dimension ref="A1:AH158"/>
  <sheetViews>
    <sheetView workbookViewId="0"/>
  </sheetViews>
  <sheetFormatPr baseColWidth="10" defaultRowHeight="16" x14ac:dyDescent="0.2"/>
  <sheetData>
    <row r="1" spans="1:34" x14ac:dyDescent="0.2">
      <c r="A1" s="2" t="s">
        <v>182</v>
      </c>
      <c r="B1" s="1"/>
      <c r="C1" s="1"/>
      <c r="D1" s="1"/>
      <c r="E1" s="1"/>
      <c r="F1" s="1"/>
      <c r="G1" s="1"/>
    </row>
    <row r="2" spans="1:34" x14ac:dyDescent="0.2">
      <c r="A2" s="21" t="s">
        <v>178</v>
      </c>
      <c r="B2" s="1"/>
      <c r="C2" s="1"/>
      <c r="D2" s="1"/>
      <c r="E2" s="1"/>
      <c r="F2" s="1"/>
      <c r="G2" s="1"/>
    </row>
    <row r="3" spans="1:34" x14ac:dyDescent="0.2">
      <c r="A3" s="1"/>
      <c r="B3" s="1"/>
      <c r="C3" s="1"/>
      <c r="D3" s="1"/>
      <c r="E3" s="1"/>
      <c r="F3" s="1"/>
      <c r="G3" s="1"/>
    </row>
    <row r="4" spans="1:34" ht="17" thickBo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7" thickTop="1" x14ac:dyDescent="0.2">
      <c r="A5" s="5" t="s">
        <v>7</v>
      </c>
      <c r="B5" s="6" t="s">
        <v>8</v>
      </c>
      <c r="C5" s="5" t="s">
        <v>9</v>
      </c>
      <c r="D5" s="7" t="s">
        <v>10</v>
      </c>
      <c r="E5" s="5" t="s">
        <v>11</v>
      </c>
      <c r="F5" s="5" t="s">
        <v>12</v>
      </c>
      <c r="G5" s="5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x14ac:dyDescent="0.2">
      <c r="A6" s="5" t="s">
        <v>13</v>
      </c>
      <c r="B6" s="6" t="s">
        <v>8</v>
      </c>
      <c r="C6" s="5" t="s">
        <v>9</v>
      </c>
      <c r="D6" s="7" t="s">
        <v>14</v>
      </c>
      <c r="E6" s="5" t="s">
        <v>11</v>
      </c>
      <c r="F6" s="5" t="s">
        <v>15</v>
      </c>
      <c r="G6" s="5" t="s">
        <v>11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">
      <c r="A7" s="5" t="s">
        <v>16</v>
      </c>
      <c r="B7" s="6" t="s">
        <v>8</v>
      </c>
      <c r="C7" s="5" t="s">
        <v>9</v>
      </c>
      <c r="D7" s="7" t="s">
        <v>17</v>
      </c>
      <c r="E7" s="5" t="s">
        <v>11</v>
      </c>
      <c r="F7" s="5" t="s">
        <v>18</v>
      </c>
      <c r="G7" s="5" t="s">
        <v>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">
      <c r="A8" s="5" t="s">
        <v>19</v>
      </c>
      <c r="B8" s="6" t="s">
        <v>8</v>
      </c>
      <c r="C8" s="5" t="s">
        <v>9</v>
      </c>
      <c r="D8" s="7" t="s">
        <v>20</v>
      </c>
      <c r="E8" s="5" t="s">
        <v>11</v>
      </c>
      <c r="F8" s="5" t="s">
        <v>21</v>
      </c>
      <c r="G8" s="5" t="s">
        <v>11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">
      <c r="A9" s="5" t="s">
        <v>22</v>
      </c>
      <c r="B9" s="6" t="s">
        <v>8</v>
      </c>
      <c r="C9" s="5" t="s">
        <v>9</v>
      </c>
      <c r="D9" s="7" t="s">
        <v>20</v>
      </c>
      <c r="E9" s="5" t="s">
        <v>11</v>
      </c>
      <c r="F9" s="6" t="s">
        <v>23</v>
      </c>
      <c r="G9" s="6" t="s">
        <v>11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">
      <c r="A10" s="5" t="s">
        <v>24</v>
      </c>
      <c r="B10" s="6" t="s">
        <v>8</v>
      </c>
      <c r="C10" s="5" t="s">
        <v>9</v>
      </c>
      <c r="D10" s="7" t="s">
        <v>10</v>
      </c>
      <c r="E10" s="5" t="s">
        <v>11</v>
      </c>
      <c r="F10" s="5" t="s">
        <v>25</v>
      </c>
      <c r="G10" s="5" t="s">
        <v>11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">
      <c r="A11" s="5" t="s">
        <v>26</v>
      </c>
      <c r="B11" s="6" t="s">
        <v>27</v>
      </c>
      <c r="C11" s="5" t="s">
        <v>9</v>
      </c>
      <c r="D11" s="7" t="s">
        <v>28</v>
      </c>
      <c r="E11" s="5" t="s">
        <v>11</v>
      </c>
      <c r="F11" s="5" t="s">
        <v>29</v>
      </c>
      <c r="G11" s="5" t="s">
        <v>11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61" x14ac:dyDescent="0.2">
      <c r="A12" s="6" t="s">
        <v>30</v>
      </c>
      <c r="B12" s="6" t="s">
        <v>8</v>
      </c>
      <c r="C12" s="8" t="s">
        <v>31</v>
      </c>
      <c r="D12" s="9" t="s">
        <v>32</v>
      </c>
      <c r="E12" s="9" t="s">
        <v>32</v>
      </c>
      <c r="F12" s="10" t="s">
        <v>33</v>
      </c>
      <c r="G12" s="10" t="s">
        <v>34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61" x14ac:dyDescent="0.2">
      <c r="A13" s="6" t="s">
        <v>35</v>
      </c>
      <c r="B13" s="6" t="s">
        <v>8</v>
      </c>
      <c r="C13" s="8" t="s">
        <v>31</v>
      </c>
      <c r="D13" s="11" t="s">
        <v>20</v>
      </c>
      <c r="E13" s="11" t="s">
        <v>20</v>
      </c>
      <c r="F13" s="10" t="s">
        <v>36</v>
      </c>
      <c r="G13" s="10" t="s">
        <v>34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1" x14ac:dyDescent="0.2">
      <c r="A14" s="6" t="s">
        <v>37</v>
      </c>
      <c r="B14" s="6" t="s">
        <v>8</v>
      </c>
      <c r="C14" s="8" t="s">
        <v>31</v>
      </c>
      <c r="D14" s="11" t="s">
        <v>14</v>
      </c>
      <c r="E14" s="11" t="s">
        <v>14</v>
      </c>
      <c r="F14" s="10" t="s">
        <v>38</v>
      </c>
      <c r="G14" s="10" t="s">
        <v>34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96" x14ac:dyDescent="0.2">
      <c r="A15" s="6" t="s">
        <v>39</v>
      </c>
      <c r="B15" s="6" t="s">
        <v>8</v>
      </c>
      <c r="C15" s="8" t="s">
        <v>31</v>
      </c>
      <c r="D15" s="9" t="s">
        <v>10</v>
      </c>
      <c r="E15" s="9" t="s">
        <v>10</v>
      </c>
      <c r="F15" s="10" t="s">
        <v>40</v>
      </c>
      <c r="G15" s="12" t="s">
        <v>34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">
      <c r="A16" s="6" t="s">
        <v>41</v>
      </c>
      <c r="B16" s="6" t="s">
        <v>8</v>
      </c>
      <c r="C16" s="8" t="s">
        <v>31</v>
      </c>
      <c r="D16" s="11" t="s">
        <v>14</v>
      </c>
      <c r="E16" s="11" t="s">
        <v>14</v>
      </c>
      <c r="F16" s="10" t="s">
        <v>34</v>
      </c>
      <c r="G16" s="12" t="s">
        <v>34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">
      <c r="A17" s="5" t="s">
        <v>42</v>
      </c>
      <c r="B17" s="6" t="s">
        <v>8</v>
      </c>
      <c r="C17" s="8" t="s">
        <v>31</v>
      </c>
      <c r="D17" s="7" t="s">
        <v>20</v>
      </c>
      <c r="E17" s="7" t="s">
        <v>20</v>
      </c>
      <c r="F17" s="5" t="s">
        <v>43</v>
      </c>
      <c r="G17" s="6" t="s">
        <v>44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">
      <c r="A18" s="5" t="s">
        <v>45</v>
      </c>
      <c r="B18" s="6" t="s">
        <v>8</v>
      </c>
      <c r="C18" s="8" t="s">
        <v>31</v>
      </c>
      <c r="D18" s="7" t="s">
        <v>20</v>
      </c>
      <c r="E18" s="7" t="s">
        <v>20</v>
      </c>
      <c r="F18" s="5" t="s">
        <v>46</v>
      </c>
      <c r="G18" s="5" t="s">
        <v>47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">
      <c r="A19" s="5" t="s">
        <v>48</v>
      </c>
      <c r="B19" s="6" t="s">
        <v>8</v>
      </c>
      <c r="C19" s="8" t="s">
        <v>31</v>
      </c>
      <c r="D19" s="7" t="s">
        <v>10</v>
      </c>
      <c r="E19" s="7" t="s">
        <v>10</v>
      </c>
      <c r="F19" s="5" t="s">
        <v>49</v>
      </c>
      <c r="G19" s="5" t="s">
        <v>34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">
      <c r="A20" s="5" t="s">
        <v>50</v>
      </c>
      <c r="B20" s="6" t="s">
        <v>8</v>
      </c>
      <c r="C20" s="8" t="s">
        <v>51</v>
      </c>
      <c r="D20" s="7" t="s">
        <v>14</v>
      </c>
      <c r="E20" s="7" t="s">
        <v>14</v>
      </c>
      <c r="F20" s="5" t="s">
        <v>52</v>
      </c>
      <c r="G20" s="5" t="s">
        <v>53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">
      <c r="A21" s="5" t="s">
        <v>54</v>
      </c>
      <c r="B21" s="6" t="s">
        <v>8</v>
      </c>
      <c r="C21" s="8" t="s">
        <v>51</v>
      </c>
      <c r="D21" s="7" t="s">
        <v>14</v>
      </c>
      <c r="E21" s="7" t="s">
        <v>14</v>
      </c>
      <c r="F21" s="5" t="s">
        <v>55</v>
      </c>
      <c r="G21" s="5" t="s">
        <v>34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">
      <c r="A22" s="5" t="s">
        <v>56</v>
      </c>
      <c r="B22" s="6" t="s">
        <v>8</v>
      </c>
      <c r="C22" s="8" t="s">
        <v>51</v>
      </c>
      <c r="D22" s="7" t="s">
        <v>20</v>
      </c>
      <c r="E22" s="7" t="s">
        <v>20</v>
      </c>
      <c r="F22" s="5" t="s">
        <v>57</v>
      </c>
      <c r="G22" s="5" t="s">
        <v>34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">
      <c r="A23" s="5" t="s">
        <v>58</v>
      </c>
      <c r="B23" s="6" t="s">
        <v>8</v>
      </c>
      <c r="C23" s="8" t="s">
        <v>59</v>
      </c>
      <c r="D23" s="7" t="s">
        <v>14</v>
      </c>
      <c r="E23" s="7" t="s">
        <v>14</v>
      </c>
      <c r="F23" s="5" t="s">
        <v>60</v>
      </c>
      <c r="G23" s="5" t="s">
        <v>34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">
      <c r="A24" s="5" t="s">
        <v>61</v>
      </c>
      <c r="B24" s="6" t="s">
        <v>8</v>
      </c>
      <c r="C24" s="8" t="s">
        <v>59</v>
      </c>
      <c r="D24" s="7" t="s">
        <v>28</v>
      </c>
      <c r="E24" s="7" t="s">
        <v>28</v>
      </c>
      <c r="F24" s="5" t="s">
        <v>62</v>
      </c>
      <c r="G24" s="5" t="s">
        <v>34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136" x14ac:dyDescent="0.2">
      <c r="A25" s="5" t="s">
        <v>63</v>
      </c>
      <c r="B25" s="6" t="s">
        <v>8</v>
      </c>
      <c r="C25" s="8" t="s">
        <v>59</v>
      </c>
      <c r="D25" s="11" t="s">
        <v>14</v>
      </c>
      <c r="E25" s="11" t="s">
        <v>14</v>
      </c>
      <c r="F25" s="10" t="s">
        <v>64</v>
      </c>
      <c r="G25" s="10" t="s">
        <v>34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">
      <c r="A26" s="5" t="s">
        <v>65</v>
      </c>
      <c r="B26" s="6" t="s">
        <v>8</v>
      </c>
      <c r="C26" s="8" t="s">
        <v>59</v>
      </c>
      <c r="D26" s="11" t="s">
        <v>14</v>
      </c>
      <c r="E26" s="11" t="s">
        <v>14</v>
      </c>
      <c r="F26" s="10" t="s">
        <v>34</v>
      </c>
      <c r="G26" s="10" t="s">
        <v>34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61" x14ac:dyDescent="0.2">
      <c r="A27" s="5" t="s">
        <v>66</v>
      </c>
      <c r="B27" s="6" t="s">
        <v>8</v>
      </c>
      <c r="C27" s="8" t="s">
        <v>59</v>
      </c>
      <c r="D27" s="11" t="s">
        <v>14</v>
      </c>
      <c r="E27" s="11" t="s">
        <v>14</v>
      </c>
      <c r="F27" s="10" t="s">
        <v>67</v>
      </c>
      <c r="G27" s="10" t="s">
        <v>34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">
      <c r="A28" s="5" t="s">
        <v>68</v>
      </c>
      <c r="B28" s="6" t="s">
        <v>8</v>
      </c>
      <c r="C28" s="8" t="s">
        <v>59</v>
      </c>
      <c r="D28" s="11" t="s">
        <v>14</v>
      </c>
      <c r="E28" s="11" t="s">
        <v>14</v>
      </c>
      <c r="F28" s="10" t="s">
        <v>34</v>
      </c>
      <c r="G28" s="10" t="s">
        <v>34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">
      <c r="A29" s="5" t="s">
        <v>69</v>
      </c>
      <c r="B29" s="6" t="s">
        <v>8</v>
      </c>
      <c r="C29" s="8" t="s">
        <v>59</v>
      </c>
      <c r="D29" s="11" t="s">
        <v>14</v>
      </c>
      <c r="E29" s="11" t="s">
        <v>14</v>
      </c>
      <c r="F29" s="10" t="s">
        <v>70</v>
      </c>
      <c r="G29" s="10" t="s">
        <v>34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">
      <c r="A30" s="5" t="s">
        <v>71</v>
      </c>
      <c r="B30" s="6" t="s">
        <v>8</v>
      </c>
      <c r="C30" s="6" t="s">
        <v>59</v>
      </c>
      <c r="D30" s="11" t="s">
        <v>14</v>
      </c>
      <c r="E30" s="11" t="s">
        <v>14</v>
      </c>
      <c r="F30" s="12" t="s">
        <v>72</v>
      </c>
      <c r="G30" s="12" t="s">
        <v>34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">
      <c r="A31" s="5" t="s">
        <v>73</v>
      </c>
      <c r="B31" s="6" t="s">
        <v>8</v>
      </c>
      <c r="C31" s="8" t="s">
        <v>59</v>
      </c>
      <c r="D31" s="11" t="s">
        <v>14</v>
      </c>
      <c r="E31" s="11" t="s">
        <v>14</v>
      </c>
      <c r="F31" s="6" t="s">
        <v>74</v>
      </c>
      <c r="G31" s="5" t="s">
        <v>75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">
      <c r="A32" s="5" t="s">
        <v>76</v>
      </c>
      <c r="B32" s="6" t="s">
        <v>8</v>
      </c>
      <c r="C32" s="8" t="s">
        <v>59</v>
      </c>
      <c r="D32" s="7" t="s">
        <v>20</v>
      </c>
      <c r="E32" s="7" t="s">
        <v>20</v>
      </c>
      <c r="F32" s="6" t="s">
        <v>77</v>
      </c>
      <c r="G32" s="6" t="s">
        <v>34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">
      <c r="A33" s="5" t="s">
        <v>78</v>
      </c>
      <c r="B33" s="6" t="s">
        <v>8</v>
      </c>
      <c r="C33" s="8" t="s">
        <v>59</v>
      </c>
      <c r="D33" s="7" t="s">
        <v>79</v>
      </c>
      <c r="E33" s="7" t="s">
        <v>79</v>
      </c>
      <c r="F33" s="5" t="s">
        <v>80</v>
      </c>
      <c r="G33" s="5" t="s">
        <v>81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">
      <c r="A34" s="5" t="s">
        <v>82</v>
      </c>
      <c r="B34" s="6" t="s">
        <v>8</v>
      </c>
      <c r="C34" s="8" t="s">
        <v>59</v>
      </c>
      <c r="D34" s="7" t="s">
        <v>14</v>
      </c>
      <c r="E34" s="7" t="s">
        <v>14</v>
      </c>
      <c r="F34" s="5" t="s">
        <v>83</v>
      </c>
      <c r="G34" s="6" t="s">
        <v>84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">
      <c r="A35" s="5" t="s">
        <v>85</v>
      </c>
      <c r="B35" s="6" t="s">
        <v>86</v>
      </c>
      <c r="C35" s="8" t="s">
        <v>59</v>
      </c>
      <c r="D35" s="7" t="s">
        <v>14</v>
      </c>
      <c r="E35" s="7" t="s">
        <v>14</v>
      </c>
      <c r="F35" s="5" t="s">
        <v>87</v>
      </c>
      <c r="G35" s="5" t="s">
        <v>34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">
      <c r="A36" s="5" t="s">
        <v>88</v>
      </c>
      <c r="B36" s="6" t="s">
        <v>8</v>
      </c>
      <c r="C36" s="8" t="s">
        <v>59</v>
      </c>
      <c r="D36" s="7" t="s">
        <v>28</v>
      </c>
      <c r="E36" s="7" t="s">
        <v>28</v>
      </c>
      <c r="F36" s="5" t="s">
        <v>89</v>
      </c>
      <c r="G36" s="5" t="s">
        <v>75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x14ac:dyDescent="0.2">
      <c r="A37" s="5" t="s">
        <v>90</v>
      </c>
      <c r="B37" s="6" t="s">
        <v>8</v>
      </c>
      <c r="C37" s="8" t="s">
        <v>59</v>
      </c>
      <c r="D37" s="7" t="s">
        <v>28</v>
      </c>
      <c r="E37" s="7" t="s">
        <v>28</v>
      </c>
      <c r="F37" s="5" t="s">
        <v>34</v>
      </c>
      <c r="G37" s="5" t="s">
        <v>34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x14ac:dyDescent="0.2">
      <c r="A38" s="5" t="s">
        <v>91</v>
      </c>
      <c r="B38" s="6" t="s">
        <v>8</v>
      </c>
      <c r="C38" s="8" t="s">
        <v>59</v>
      </c>
      <c r="D38" s="7" t="s">
        <v>92</v>
      </c>
      <c r="E38" s="7" t="s">
        <v>92</v>
      </c>
      <c r="F38" s="5" t="s">
        <v>34</v>
      </c>
      <c r="G38" s="5" t="s">
        <v>34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x14ac:dyDescent="0.2">
      <c r="A39" s="5" t="s">
        <v>93</v>
      </c>
      <c r="B39" s="6" t="s">
        <v>94</v>
      </c>
      <c r="C39" s="5" t="s">
        <v>9</v>
      </c>
      <c r="D39" s="7" t="s">
        <v>28</v>
      </c>
      <c r="E39" s="5" t="s">
        <v>11</v>
      </c>
      <c r="F39" s="6" t="s">
        <v>95</v>
      </c>
      <c r="G39" s="6" t="s">
        <v>11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x14ac:dyDescent="0.2">
      <c r="A40" s="5" t="s">
        <v>96</v>
      </c>
      <c r="B40" s="6" t="s">
        <v>94</v>
      </c>
      <c r="C40" s="5" t="s">
        <v>9</v>
      </c>
      <c r="D40" s="7" t="s">
        <v>10</v>
      </c>
      <c r="E40" s="5" t="s">
        <v>11</v>
      </c>
      <c r="F40" s="6" t="s">
        <v>97</v>
      </c>
      <c r="G40" s="6" t="s">
        <v>11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x14ac:dyDescent="0.2">
      <c r="A41" s="5" t="s">
        <v>98</v>
      </c>
      <c r="B41" s="6" t="s">
        <v>94</v>
      </c>
      <c r="C41" s="5" t="s">
        <v>9</v>
      </c>
      <c r="D41" s="7" t="s">
        <v>28</v>
      </c>
      <c r="E41" s="5" t="s">
        <v>11</v>
      </c>
      <c r="F41" s="6" t="s">
        <v>99</v>
      </c>
      <c r="G41" s="6" t="s">
        <v>11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2">
      <c r="A42" s="5" t="s">
        <v>100</v>
      </c>
      <c r="B42" s="6" t="s">
        <v>94</v>
      </c>
      <c r="C42" s="5" t="s">
        <v>9</v>
      </c>
      <c r="D42" s="7" t="s">
        <v>10</v>
      </c>
      <c r="E42" s="5" t="s">
        <v>11</v>
      </c>
      <c r="F42" s="6" t="s">
        <v>101</v>
      </c>
      <c r="G42" s="6" t="s">
        <v>11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2">
      <c r="A43" s="5" t="s">
        <v>102</v>
      </c>
      <c r="B43" s="5" t="s">
        <v>94</v>
      </c>
      <c r="C43" s="8" t="s">
        <v>59</v>
      </c>
      <c r="D43" s="7" t="s">
        <v>10</v>
      </c>
      <c r="E43" s="7" t="s">
        <v>10</v>
      </c>
      <c r="F43" s="5" t="s">
        <v>103</v>
      </c>
      <c r="G43" s="5" t="s">
        <v>104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2">
      <c r="A44" s="6" t="s">
        <v>105</v>
      </c>
      <c r="B44" s="6" t="s">
        <v>94</v>
      </c>
      <c r="C44" s="6" t="s">
        <v>59</v>
      </c>
      <c r="D44" s="11" t="s">
        <v>106</v>
      </c>
      <c r="E44" s="11" t="s">
        <v>106</v>
      </c>
      <c r="F44" s="12" t="s">
        <v>107</v>
      </c>
      <c r="G44" s="12" t="s">
        <v>108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2">
      <c r="A45" s="5" t="s">
        <v>109</v>
      </c>
      <c r="B45" s="5" t="s">
        <v>94</v>
      </c>
      <c r="C45" s="8" t="s">
        <v>59</v>
      </c>
      <c r="D45" s="7" t="s">
        <v>28</v>
      </c>
      <c r="E45" s="7" t="s">
        <v>28</v>
      </c>
      <c r="F45" s="6" t="s">
        <v>110</v>
      </c>
      <c r="G45" s="6" t="s">
        <v>111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2">
      <c r="A46" s="5" t="s">
        <v>112</v>
      </c>
      <c r="B46" s="5" t="s">
        <v>94</v>
      </c>
      <c r="C46" s="8" t="s">
        <v>59</v>
      </c>
      <c r="D46" s="7" t="s">
        <v>10</v>
      </c>
      <c r="E46" s="7" t="s">
        <v>10</v>
      </c>
      <c r="F46" s="6" t="s">
        <v>113</v>
      </c>
      <c r="G46" s="5" t="s">
        <v>114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2">
      <c r="A47" s="5" t="s">
        <v>115</v>
      </c>
      <c r="B47" s="5" t="s">
        <v>94</v>
      </c>
      <c r="C47" s="8" t="s">
        <v>59</v>
      </c>
      <c r="D47" s="7" t="s">
        <v>10</v>
      </c>
      <c r="E47" s="7" t="s">
        <v>10</v>
      </c>
      <c r="F47" s="6" t="s">
        <v>116</v>
      </c>
      <c r="G47" s="6" t="s">
        <v>117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">
      <c r="A48" s="6" t="s">
        <v>118</v>
      </c>
      <c r="B48" s="6" t="s">
        <v>94</v>
      </c>
      <c r="C48" s="8" t="s">
        <v>119</v>
      </c>
      <c r="D48" s="11" t="s">
        <v>28</v>
      </c>
      <c r="E48" s="11" t="s">
        <v>28</v>
      </c>
      <c r="F48" s="6" t="s">
        <v>120</v>
      </c>
      <c r="G48" s="6" t="s">
        <v>34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2">
      <c r="A49" s="6" t="s">
        <v>121</v>
      </c>
      <c r="B49" s="6" t="s">
        <v>94</v>
      </c>
      <c r="C49" s="8" t="s">
        <v>122</v>
      </c>
      <c r="D49" s="7" t="s">
        <v>28</v>
      </c>
      <c r="E49" s="7" t="s">
        <v>28</v>
      </c>
      <c r="F49" s="6" t="s">
        <v>123</v>
      </c>
      <c r="G49" s="6" t="s">
        <v>124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2">
      <c r="A50" s="6" t="s">
        <v>125</v>
      </c>
      <c r="B50" s="6" t="s">
        <v>94</v>
      </c>
      <c r="C50" s="8" t="s">
        <v>122</v>
      </c>
      <c r="D50" s="11" t="s">
        <v>10</v>
      </c>
      <c r="E50" s="11" t="s">
        <v>10</v>
      </c>
      <c r="F50" s="6" t="s">
        <v>126</v>
      </c>
      <c r="G50" s="6" t="s">
        <v>127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2">
      <c r="A51" s="6" t="s">
        <v>128</v>
      </c>
      <c r="B51" s="6" t="s">
        <v>94</v>
      </c>
      <c r="C51" s="8" t="s">
        <v>122</v>
      </c>
      <c r="D51" s="11" t="s">
        <v>10</v>
      </c>
      <c r="E51" s="11" t="s">
        <v>10</v>
      </c>
      <c r="F51" s="6" t="s">
        <v>129</v>
      </c>
      <c r="G51" s="6" t="s">
        <v>124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2">
      <c r="A52" s="6" t="s">
        <v>130</v>
      </c>
      <c r="B52" s="6" t="s">
        <v>94</v>
      </c>
      <c r="C52" s="8" t="s">
        <v>122</v>
      </c>
      <c r="D52" s="11" t="s">
        <v>10</v>
      </c>
      <c r="E52" s="11" t="s">
        <v>10</v>
      </c>
      <c r="F52" s="6" t="s">
        <v>131</v>
      </c>
      <c r="G52" s="6" t="s">
        <v>132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2">
      <c r="A53" s="5" t="s">
        <v>133</v>
      </c>
      <c r="B53" s="6" t="s">
        <v>94</v>
      </c>
      <c r="C53" s="8" t="s">
        <v>122</v>
      </c>
      <c r="D53" s="7" t="s">
        <v>134</v>
      </c>
      <c r="E53" s="7" t="s">
        <v>134</v>
      </c>
      <c r="F53" s="6" t="s">
        <v>46</v>
      </c>
      <c r="G53" s="6" t="s">
        <v>135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2">
      <c r="A54" s="6" t="s">
        <v>136</v>
      </c>
      <c r="B54" s="6" t="s">
        <v>94</v>
      </c>
      <c r="C54" s="8" t="s">
        <v>122</v>
      </c>
      <c r="D54" s="7" t="s">
        <v>106</v>
      </c>
      <c r="E54" s="7" t="s">
        <v>106</v>
      </c>
      <c r="F54" s="6" t="s">
        <v>137</v>
      </c>
      <c r="G54" s="6" t="s">
        <v>138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2">
      <c r="A55" s="5" t="s">
        <v>139</v>
      </c>
      <c r="B55" s="5" t="s">
        <v>94</v>
      </c>
      <c r="C55" s="8" t="s">
        <v>122</v>
      </c>
      <c r="D55" s="7" t="s">
        <v>10</v>
      </c>
      <c r="E55" s="7" t="s">
        <v>10</v>
      </c>
      <c r="F55" s="6" t="s">
        <v>25</v>
      </c>
      <c r="G55" s="6" t="s">
        <v>140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2">
      <c r="A56" s="5" t="s">
        <v>141</v>
      </c>
      <c r="B56" s="5" t="s">
        <v>94</v>
      </c>
      <c r="C56" s="8" t="s">
        <v>122</v>
      </c>
      <c r="D56" s="7" t="s">
        <v>10</v>
      </c>
      <c r="E56" s="7" t="s">
        <v>10</v>
      </c>
      <c r="F56" s="6" t="s">
        <v>142</v>
      </c>
      <c r="G56" s="6" t="s">
        <v>34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1:34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1:34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1:34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1:34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1:34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</sheetData>
  <conditionalFormatting sqref="D50:E51">
    <cfRule type="expression" dxfId="3" priority="2">
      <formula>#REF!&lt;&gt;"11"</formula>
    </cfRule>
  </conditionalFormatting>
  <conditionalFormatting sqref="D53:E56">
    <cfRule type="expression" dxfId="2" priority="3">
      <formula>#REF!&lt;&gt;"11"</formula>
    </cfRule>
  </conditionalFormatting>
  <conditionalFormatting sqref="F30">
    <cfRule type="expression" dxfId="1" priority="4">
      <formula>#REF!&lt;&gt;"11"</formula>
    </cfRule>
  </conditionalFormatting>
  <conditionalFormatting sqref="F35:G35 D40:E42 F47:G49">
    <cfRule type="expression" dxfId="0" priority="1">
      <formula>#REF!&lt;&gt;"11"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AE01-5C18-7B44-A995-7679CF400379}">
  <dimension ref="A1:C10"/>
  <sheetViews>
    <sheetView workbookViewId="0"/>
  </sheetViews>
  <sheetFormatPr baseColWidth="10" defaultRowHeight="16" x14ac:dyDescent="0.2"/>
  <cols>
    <col min="1" max="1" width="14.1640625" customWidth="1"/>
    <col min="2" max="2" width="28" customWidth="1"/>
    <col min="3" max="3" width="24.33203125" customWidth="1"/>
  </cols>
  <sheetData>
    <row r="1" spans="1:3" x14ac:dyDescent="0.2">
      <c r="A1" s="2" t="s">
        <v>179</v>
      </c>
      <c r="B1" s="1"/>
      <c r="C1" s="1"/>
    </row>
    <row r="2" spans="1:3" x14ac:dyDescent="0.2">
      <c r="A2" s="15"/>
      <c r="B2" s="15"/>
      <c r="C2" s="15"/>
    </row>
    <row r="3" spans="1:3" x14ac:dyDescent="0.2">
      <c r="A3" s="15"/>
      <c r="B3" s="15"/>
      <c r="C3" s="15"/>
    </row>
    <row r="4" spans="1:3" x14ac:dyDescent="0.2">
      <c r="A4" s="22" t="s">
        <v>2</v>
      </c>
      <c r="B4" s="22" t="s">
        <v>187</v>
      </c>
      <c r="C4" s="22" t="s">
        <v>188</v>
      </c>
    </row>
    <row r="5" spans="1:3" x14ac:dyDescent="0.2">
      <c r="A5" s="22" t="s">
        <v>59</v>
      </c>
      <c r="B5" s="23">
        <v>1.4123809523809501</v>
      </c>
      <c r="C5" s="23">
        <v>1.8357601678126701E-3</v>
      </c>
    </row>
    <row r="6" spans="1:3" x14ac:dyDescent="0.2">
      <c r="A6" s="22" t="s">
        <v>119</v>
      </c>
      <c r="B6" s="23">
        <v>1.1599999999999999</v>
      </c>
      <c r="C6" s="23">
        <v>-1.0119460327048699E-2</v>
      </c>
    </row>
    <row r="7" spans="1:3" ht="18" customHeight="1" x14ac:dyDescent="0.2">
      <c r="A7" s="22" t="s">
        <v>122</v>
      </c>
      <c r="B7" s="23">
        <v>1.7424999999999999</v>
      </c>
      <c r="C7" s="23">
        <v>3.3005999348620897E-2</v>
      </c>
    </row>
    <row r="8" spans="1:3" x14ac:dyDescent="0.2">
      <c r="A8" s="22" t="s">
        <v>9</v>
      </c>
      <c r="B8" s="23">
        <v>1.73818181818182</v>
      </c>
      <c r="C8" s="23">
        <v>2.4758762515516501E-2</v>
      </c>
    </row>
    <row r="9" spans="1:3" x14ac:dyDescent="0.2">
      <c r="A9" s="22" t="s">
        <v>31</v>
      </c>
      <c r="B9" s="23">
        <v>1.105</v>
      </c>
      <c r="C9" s="23">
        <v>-5.4226558985905502E-3</v>
      </c>
    </row>
    <row r="10" spans="1:3" x14ac:dyDescent="0.2">
      <c r="A10" s="22" t="s">
        <v>51</v>
      </c>
      <c r="B10" s="23">
        <v>1.2533333333333301</v>
      </c>
      <c r="C10" s="23">
        <v>1.9763886733571899E-2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9869-C2D2-8B4D-9582-6417694F1F34}">
  <dimension ref="A1:D8"/>
  <sheetViews>
    <sheetView workbookViewId="0"/>
  </sheetViews>
  <sheetFormatPr baseColWidth="10" defaultRowHeight="16" x14ac:dyDescent="0.2"/>
  <cols>
    <col min="1" max="1" width="13.5" customWidth="1"/>
    <col min="2" max="2" width="24.83203125" customWidth="1"/>
    <col min="3" max="3" width="21.5" customWidth="1"/>
  </cols>
  <sheetData>
    <row r="1" spans="1:4" x14ac:dyDescent="0.2">
      <c r="A1" s="2" t="s">
        <v>180</v>
      </c>
      <c r="B1" s="15"/>
      <c r="C1" s="15"/>
      <c r="D1" s="15"/>
    </row>
    <row r="2" spans="1:4" x14ac:dyDescent="0.2">
      <c r="A2" s="15"/>
      <c r="B2" s="15"/>
      <c r="C2" s="15"/>
      <c r="D2" s="15"/>
    </row>
    <row r="3" spans="1:4" x14ac:dyDescent="0.2">
      <c r="A3" s="15"/>
      <c r="B3" s="15"/>
      <c r="C3" s="15"/>
      <c r="D3" s="15"/>
    </row>
    <row r="4" spans="1:4" x14ac:dyDescent="0.2">
      <c r="A4" s="22" t="s">
        <v>1</v>
      </c>
      <c r="B4" s="22" t="s">
        <v>187</v>
      </c>
      <c r="C4" s="22" t="s">
        <v>188</v>
      </c>
      <c r="D4" s="15"/>
    </row>
    <row r="5" spans="1:4" x14ac:dyDescent="0.2">
      <c r="A5" s="22" t="s">
        <v>94</v>
      </c>
      <c r="B5" s="23">
        <v>1.56</v>
      </c>
      <c r="C5" s="23">
        <v>2.2283424958614399E-2</v>
      </c>
      <c r="D5" s="15"/>
    </row>
    <row r="6" spans="1:4" x14ac:dyDescent="0.2">
      <c r="A6" s="22" t="s">
        <v>8</v>
      </c>
      <c r="B6" s="23">
        <v>1.4081250000000001</v>
      </c>
      <c r="C6" s="23">
        <v>4.4465550927630998E-3</v>
      </c>
      <c r="D6" s="15"/>
    </row>
    <row r="7" spans="1:4" x14ac:dyDescent="0.2">
      <c r="A7" s="22" t="s">
        <v>27</v>
      </c>
      <c r="B7" s="23">
        <v>1.34</v>
      </c>
      <c r="C7" s="23">
        <v>5.2220810594690498E-2</v>
      </c>
      <c r="D7" s="15"/>
    </row>
    <row r="8" spans="1:4" x14ac:dyDescent="0.2">
      <c r="A8" s="22" t="s">
        <v>86</v>
      </c>
      <c r="B8" s="23">
        <v>2</v>
      </c>
      <c r="C8" s="23">
        <v>-1.4875924149510901E-2</v>
      </c>
      <c r="D8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095D-EE4A-F64D-A4CD-592D4EDF1DB1}">
  <dimension ref="A1:F56"/>
  <sheetViews>
    <sheetView workbookViewId="0"/>
  </sheetViews>
  <sheetFormatPr baseColWidth="10" defaultRowHeight="16" x14ac:dyDescent="0.2"/>
  <sheetData>
    <row r="1" spans="1:6" x14ac:dyDescent="0.2">
      <c r="A1" s="2" t="s">
        <v>190</v>
      </c>
    </row>
    <row r="4" spans="1:6" x14ac:dyDescent="0.2">
      <c r="A4" s="22" t="s">
        <v>0</v>
      </c>
      <c r="B4" s="22" t="s">
        <v>1</v>
      </c>
      <c r="C4" s="22" t="s">
        <v>2</v>
      </c>
      <c r="D4" s="22" t="s">
        <v>189</v>
      </c>
      <c r="E4" s="22" t="s">
        <v>187</v>
      </c>
      <c r="F4" s="22" t="s">
        <v>188</v>
      </c>
    </row>
    <row r="5" spans="1:6" x14ac:dyDescent="0.2">
      <c r="A5" s="22" t="s">
        <v>7</v>
      </c>
      <c r="B5" s="23" t="s">
        <v>8</v>
      </c>
      <c r="C5" s="23" t="s">
        <v>9</v>
      </c>
      <c r="D5" s="23">
        <v>2.2958904109588998</v>
      </c>
      <c r="E5" s="23">
        <v>1.8</v>
      </c>
      <c r="F5" s="23">
        <v>9.3937960733012898E-3</v>
      </c>
    </row>
    <row r="6" spans="1:6" x14ac:dyDescent="0.2">
      <c r="A6" s="22" t="s">
        <v>13</v>
      </c>
      <c r="B6" s="23" t="s">
        <v>8</v>
      </c>
      <c r="C6" s="23" t="s">
        <v>9</v>
      </c>
      <c r="D6" s="23">
        <v>2.2958904109588998</v>
      </c>
      <c r="E6" s="23">
        <v>2.08</v>
      </c>
      <c r="F6" s="23">
        <v>-2.47729943559022E-2</v>
      </c>
    </row>
    <row r="7" spans="1:6" x14ac:dyDescent="0.2">
      <c r="A7" s="22" t="s">
        <v>16</v>
      </c>
      <c r="B7" s="23" t="s">
        <v>8</v>
      </c>
      <c r="C7" s="23" t="s">
        <v>9</v>
      </c>
      <c r="D7" s="23">
        <v>2.2958904109588998</v>
      </c>
      <c r="E7" s="23">
        <v>2.6</v>
      </c>
      <c r="F7" s="23">
        <v>2.10003024154394E-2</v>
      </c>
    </row>
    <row r="8" spans="1:6" x14ac:dyDescent="0.2">
      <c r="A8" s="22" t="s">
        <v>19</v>
      </c>
      <c r="B8" s="23" t="s">
        <v>8</v>
      </c>
      <c r="C8" s="23" t="s">
        <v>9</v>
      </c>
      <c r="D8" s="23">
        <v>2.2958904109588998</v>
      </c>
      <c r="E8" s="23">
        <v>1.9</v>
      </c>
      <c r="F8" s="23">
        <v>4.4837594963175902E-2</v>
      </c>
    </row>
    <row r="9" spans="1:6" x14ac:dyDescent="0.2">
      <c r="A9" s="22" t="s">
        <v>22</v>
      </c>
      <c r="B9" s="23" t="s">
        <v>8</v>
      </c>
      <c r="C9" s="23" t="s">
        <v>9</v>
      </c>
      <c r="D9" s="23">
        <v>2.2958904109588998</v>
      </c>
      <c r="E9" s="23">
        <v>1.32</v>
      </c>
      <c r="F9" s="23">
        <v>-8.8352900497135501E-3</v>
      </c>
    </row>
    <row r="10" spans="1:6" x14ac:dyDescent="0.2">
      <c r="A10" s="22" t="s">
        <v>24</v>
      </c>
      <c r="B10" s="23" t="s">
        <v>8</v>
      </c>
      <c r="C10" s="23" t="s">
        <v>9</v>
      </c>
      <c r="D10" s="23">
        <v>2.2958904109588998</v>
      </c>
      <c r="E10" s="23">
        <v>1.52</v>
      </c>
      <c r="F10" s="23">
        <v>4.4501559891769502E-2</v>
      </c>
    </row>
    <row r="11" spans="1:6" x14ac:dyDescent="0.2">
      <c r="A11" s="22" t="s">
        <v>26</v>
      </c>
      <c r="B11" s="23" t="s">
        <v>27</v>
      </c>
      <c r="C11" s="23" t="s">
        <v>9</v>
      </c>
      <c r="D11" s="23">
        <v>2.2958904109588998</v>
      </c>
      <c r="E11" s="23">
        <v>1.34</v>
      </c>
      <c r="F11" s="23">
        <v>5.2220810594690498E-2</v>
      </c>
    </row>
    <row r="12" spans="1:6" x14ac:dyDescent="0.2">
      <c r="A12" s="22" t="s">
        <v>30</v>
      </c>
      <c r="B12" s="23" t="s">
        <v>8</v>
      </c>
      <c r="C12" s="23" t="s">
        <v>31</v>
      </c>
      <c r="D12" s="23">
        <v>0.57397260273972595</v>
      </c>
      <c r="E12" s="23">
        <v>1.2</v>
      </c>
      <c r="F12" s="23">
        <v>6.0598977363867301E-3</v>
      </c>
    </row>
    <row r="13" spans="1:6" x14ac:dyDescent="0.2">
      <c r="A13" s="22" t="s">
        <v>35</v>
      </c>
      <c r="B13" s="23" t="s">
        <v>8</v>
      </c>
      <c r="C13" s="23" t="s">
        <v>31</v>
      </c>
      <c r="D13" s="23">
        <v>0.57397260273972595</v>
      </c>
      <c r="E13" s="23">
        <v>1.22</v>
      </c>
      <c r="F13" s="23">
        <v>-3.4876157011534001E-2</v>
      </c>
    </row>
    <row r="14" spans="1:6" x14ac:dyDescent="0.2">
      <c r="A14" s="22" t="s">
        <v>37</v>
      </c>
      <c r="B14" s="23" t="s">
        <v>8</v>
      </c>
      <c r="C14" s="23" t="s">
        <v>31</v>
      </c>
      <c r="D14" s="23">
        <v>0.57397260273972595</v>
      </c>
      <c r="E14" s="23">
        <v>0.88</v>
      </c>
      <c r="F14" s="23">
        <v>-3.9416797784130798E-2</v>
      </c>
    </row>
    <row r="15" spans="1:6" x14ac:dyDescent="0.2">
      <c r="A15" s="22" t="s">
        <v>39</v>
      </c>
      <c r="B15" s="23" t="s">
        <v>8</v>
      </c>
      <c r="C15" s="23" t="s">
        <v>31</v>
      </c>
      <c r="D15" s="23">
        <v>0.57397260273972595</v>
      </c>
      <c r="E15" s="23">
        <v>0.98</v>
      </c>
      <c r="F15" s="23">
        <v>5.43437865643581E-2</v>
      </c>
    </row>
    <row r="16" spans="1:6" x14ac:dyDescent="0.2">
      <c r="A16" s="22" t="s">
        <v>41</v>
      </c>
      <c r="B16" s="23" t="s">
        <v>8</v>
      </c>
      <c r="C16" s="23" t="s">
        <v>31</v>
      </c>
      <c r="D16" s="23">
        <v>0.57397260273972595</v>
      </c>
      <c r="E16" s="23">
        <v>1.28</v>
      </c>
      <c r="F16" s="23">
        <v>-6.4687344787102599E-2</v>
      </c>
    </row>
    <row r="17" spans="1:6" x14ac:dyDescent="0.2">
      <c r="A17" s="22" t="s">
        <v>42</v>
      </c>
      <c r="B17" s="23" t="s">
        <v>8</v>
      </c>
      <c r="C17" s="23" t="s">
        <v>31</v>
      </c>
      <c r="D17" s="23">
        <v>0.57397260273972595</v>
      </c>
      <c r="E17" s="23">
        <v>1.06</v>
      </c>
      <c r="F17" s="23">
        <v>-1.9920534025988298E-3</v>
      </c>
    </row>
    <row r="18" spans="1:6" x14ac:dyDescent="0.2">
      <c r="A18" s="22" t="s">
        <v>45</v>
      </c>
      <c r="B18" s="23" t="s">
        <v>8</v>
      </c>
      <c r="C18" s="23" t="s">
        <v>31</v>
      </c>
      <c r="D18" s="23">
        <v>0.57397260273972595</v>
      </c>
      <c r="E18" s="23">
        <v>1.06</v>
      </c>
      <c r="F18" s="23">
        <v>2.3733545910460799E-2</v>
      </c>
    </row>
    <row r="19" spans="1:6" x14ac:dyDescent="0.2">
      <c r="A19" s="22" t="s">
        <v>48</v>
      </c>
      <c r="B19" s="23" t="s">
        <v>8</v>
      </c>
      <c r="C19" s="23" t="s">
        <v>31</v>
      </c>
      <c r="D19" s="23">
        <v>0.57397260273972595</v>
      </c>
      <c r="E19" s="23">
        <v>1.1599999999999999</v>
      </c>
      <c r="F19" s="23">
        <v>1.34538755854362E-2</v>
      </c>
    </row>
    <row r="20" spans="1:6" x14ac:dyDescent="0.2">
      <c r="A20" s="22" t="s">
        <v>50</v>
      </c>
      <c r="B20" s="23" t="s">
        <v>8</v>
      </c>
      <c r="C20" s="23" t="s">
        <v>51</v>
      </c>
      <c r="D20" s="23">
        <v>0.57397260273972595</v>
      </c>
      <c r="E20" s="23">
        <v>1.26</v>
      </c>
      <c r="F20" s="23">
        <v>8.8500895818474697E-3</v>
      </c>
    </row>
    <row r="21" spans="1:6" x14ac:dyDescent="0.2">
      <c r="A21" s="22" t="s">
        <v>54</v>
      </c>
      <c r="B21" s="23" t="s">
        <v>8</v>
      </c>
      <c r="C21" s="23" t="s">
        <v>51</v>
      </c>
      <c r="D21" s="23">
        <v>0.57397260273972595</v>
      </c>
      <c r="E21" s="23">
        <v>1.3</v>
      </c>
      <c r="F21" s="23">
        <v>4.6655341389323902E-2</v>
      </c>
    </row>
    <row r="22" spans="1:6" x14ac:dyDescent="0.2">
      <c r="A22" s="22" t="s">
        <v>56</v>
      </c>
      <c r="B22" s="23" t="s">
        <v>8</v>
      </c>
      <c r="C22" s="23" t="s">
        <v>51</v>
      </c>
      <c r="D22" s="23">
        <v>0.57397260273972595</v>
      </c>
      <c r="E22" s="23">
        <v>1.2</v>
      </c>
      <c r="F22" s="23">
        <v>3.7862292295442099E-3</v>
      </c>
    </row>
    <row r="23" spans="1:6" x14ac:dyDescent="0.2">
      <c r="A23" s="22" t="s">
        <v>58</v>
      </c>
      <c r="B23" s="23" t="s">
        <v>8</v>
      </c>
      <c r="C23" s="23" t="s">
        <v>59</v>
      </c>
      <c r="D23" s="23">
        <v>1.1479452054794499</v>
      </c>
      <c r="E23" s="23">
        <v>1.48</v>
      </c>
      <c r="F23" s="23">
        <v>2.1596906487146902E-2</v>
      </c>
    </row>
    <row r="24" spans="1:6" x14ac:dyDescent="0.2">
      <c r="A24" s="22" t="s">
        <v>61</v>
      </c>
      <c r="B24" s="23" t="s">
        <v>8</v>
      </c>
      <c r="C24" s="23" t="s">
        <v>59</v>
      </c>
      <c r="D24" s="23">
        <v>1.1479452054794499</v>
      </c>
      <c r="E24" s="23">
        <v>1.26</v>
      </c>
      <c r="F24" s="23">
        <v>-1.8246435678015701E-2</v>
      </c>
    </row>
    <row r="25" spans="1:6" x14ac:dyDescent="0.2">
      <c r="A25" s="22" t="s">
        <v>63</v>
      </c>
      <c r="B25" s="23" t="s">
        <v>8</v>
      </c>
      <c r="C25" s="23" t="s">
        <v>59</v>
      </c>
      <c r="D25" s="23">
        <v>1.1479452054794499</v>
      </c>
      <c r="E25" s="23">
        <v>1.48</v>
      </c>
      <c r="F25" s="23">
        <v>-3.0226447667027301E-2</v>
      </c>
    </row>
    <row r="26" spans="1:6" x14ac:dyDescent="0.2">
      <c r="A26" s="22" t="s">
        <v>65</v>
      </c>
      <c r="B26" s="23" t="s">
        <v>8</v>
      </c>
      <c r="C26" s="23" t="s">
        <v>59</v>
      </c>
      <c r="D26" s="23">
        <v>1.1479452054794499</v>
      </c>
      <c r="E26" s="23">
        <v>1.6</v>
      </c>
      <c r="F26" s="23">
        <v>-5.2026086293448397E-2</v>
      </c>
    </row>
    <row r="27" spans="1:6" x14ac:dyDescent="0.2">
      <c r="A27" s="22" t="s">
        <v>66</v>
      </c>
      <c r="B27" s="23" t="s">
        <v>8</v>
      </c>
      <c r="C27" s="23" t="s">
        <v>59</v>
      </c>
      <c r="D27" s="23">
        <v>1.1479452054794499</v>
      </c>
      <c r="E27" s="23">
        <v>1.1200000000000001</v>
      </c>
      <c r="F27" s="23">
        <v>3.1833896213648197E-2</v>
      </c>
    </row>
    <row r="28" spans="1:6" x14ac:dyDescent="0.2">
      <c r="A28" s="22" t="s">
        <v>68</v>
      </c>
      <c r="B28" s="23" t="s">
        <v>8</v>
      </c>
      <c r="C28" s="23" t="s">
        <v>59</v>
      </c>
      <c r="D28" s="23">
        <v>1.1479452054794499</v>
      </c>
      <c r="E28" s="23">
        <v>1.2</v>
      </c>
      <c r="F28" s="23">
        <v>-2.9398820407327601E-2</v>
      </c>
    </row>
    <row r="29" spans="1:6" x14ac:dyDescent="0.2">
      <c r="A29" s="22" t="s">
        <v>69</v>
      </c>
      <c r="B29" s="23" t="s">
        <v>8</v>
      </c>
      <c r="C29" s="23" t="s">
        <v>59</v>
      </c>
      <c r="D29" s="23">
        <v>1.1479452054794499</v>
      </c>
      <c r="E29" s="23">
        <v>1.4</v>
      </c>
      <c r="F29" s="23">
        <v>2.7767692837904201E-2</v>
      </c>
    </row>
    <row r="30" spans="1:6" x14ac:dyDescent="0.2">
      <c r="A30" s="22" t="s">
        <v>71</v>
      </c>
      <c r="B30" s="23" t="s">
        <v>8</v>
      </c>
      <c r="C30" s="23" t="s">
        <v>59</v>
      </c>
      <c r="D30" s="23">
        <v>1.1479452054794499</v>
      </c>
      <c r="E30" s="23">
        <v>1.46</v>
      </c>
      <c r="F30" s="23">
        <v>8.3963302039679506E-3</v>
      </c>
    </row>
    <row r="31" spans="1:6" x14ac:dyDescent="0.2">
      <c r="A31" s="22" t="s">
        <v>73</v>
      </c>
      <c r="B31" s="23" t="s">
        <v>8</v>
      </c>
      <c r="C31" s="23" t="s">
        <v>59</v>
      </c>
      <c r="D31" s="23">
        <v>1.1479452054794499</v>
      </c>
      <c r="E31" s="23">
        <v>1.74</v>
      </c>
      <c r="F31" s="23">
        <v>7.4587114929136403E-2</v>
      </c>
    </row>
    <row r="32" spans="1:6" x14ac:dyDescent="0.2">
      <c r="A32" s="22" t="s">
        <v>76</v>
      </c>
      <c r="B32" s="23" t="s">
        <v>8</v>
      </c>
      <c r="C32" s="23" t="s">
        <v>59</v>
      </c>
      <c r="D32" s="23">
        <v>1.1479452054794499</v>
      </c>
      <c r="E32" s="23">
        <v>1.7</v>
      </c>
      <c r="F32" s="23">
        <v>5.8002895899288497E-2</v>
      </c>
    </row>
    <row r="33" spans="1:6" x14ac:dyDescent="0.2">
      <c r="A33" s="22" t="s">
        <v>78</v>
      </c>
      <c r="B33" s="23" t="s">
        <v>8</v>
      </c>
      <c r="C33" s="23" t="s">
        <v>59</v>
      </c>
      <c r="D33" s="23">
        <v>1.1479452054794499</v>
      </c>
      <c r="E33" s="23">
        <v>1.46</v>
      </c>
      <c r="F33" s="23">
        <v>-5.1637218455497201E-2</v>
      </c>
    </row>
    <row r="34" spans="1:6" x14ac:dyDescent="0.2">
      <c r="A34" s="22" t="s">
        <v>82</v>
      </c>
      <c r="B34" s="23" t="s">
        <v>8</v>
      </c>
      <c r="C34" s="23" t="s">
        <v>59</v>
      </c>
      <c r="D34" s="23">
        <v>1.1479452054794499</v>
      </c>
      <c r="E34" s="23">
        <v>1.3</v>
      </c>
      <c r="F34" s="23">
        <v>-5.4037907388402202E-3</v>
      </c>
    </row>
    <row r="35" spans="1:6" x14ac:dyDescent="0.2">
      <c r="A35" s="22" t="s">
        <v>85</v>
      </c>
      <c r="B35" s="23" t="s">
        <v>86</v>
      </c>
      <c r="C35" s="23" t="s">
        <v>59</v>
      </c>
      <c r="D35" s="23">
        <v>1.1479452054794499</v>
      </c>
      <c r="E35" s="23">
        <v>2</v>
      </c>
      <c r="F35" s="23">
        <v>-1.4875924149510901E-2</v>
      </c>
    </row>
    <row r="36" spans="1:6" x14ac:dyDescent="0.2">
      <c r="A36" s="22" t="s">
        <v>88</v>
      </c>
      <c r="B36" s="23" t="s">
        <v>8</v>
      </c>
      <c r="C36" s="23" t="s">
        <v>59</v>
      </c>
      <c r="D36" s="23">
        <v>1.1479452054794499</v>
      </c>
      <c r="E36" s="23">
        <v>1.26</v>
      </c>
      <c r="F36" s="23">
        <v>3.85454285916077E-2</v>
      </c>
    </row>
    <row r="37" spans="1:6" x14ac:dyDescent="0.2">
      <c r="A37" s="22" t="s">
        <v>90</v>
      </c>
      <c r="B37" s="23" t="s">
        <v>8</v>
      </c>
      <c r="C37" s="23" t="s">
        <v>59</v>
      </c>
      <c r="D37" s="23">
        <v>1.1479452054794499</v>
      </c>
      <c r="E37" s="23">
        <v>1.32</v>
      </c>
      <c r="F37" s="23">
        <v>-4.03622982215446E-2</v>
      </c>
    </row>
    <row r="38" spans="1:6" x14ac:dyDescent="0.2">
      <c r="A38" s="22" t="s">
        <v>91</v>
      </c>
      <c r="B38" s="23" t="s">
        <v>8</v>
      </c>
      <c r="C38" s="23" t="s">
        <v>59</v>
      </c>
      <c r="D38" s="23">
        <v>1.1479452054794499</v>
      </c>
      <c r="E38" s="23">
        <v>1.46</v>
      </c>
      <c r="F38" s="23">
        <v>6.8252133173588702E-3</v>
      </c>
    </row>
    <row r="39" spans="1:6" x14ac:dyDescent="0.2">
      <c r="A39" s="22" t="s">
        <v>93</v>
      </c>
      <c r="B39" s="23" t="s">
        <v>94</v>
      </c>
      <c r="C39" s="23" t="s">
        <v>9</v>
      </c>
      <c r="D39" s="23">
        <v>1.5835616438356199</v>
      </c>
      <c r="E39" s="23">
        <v>1.66</v>
      </c>
      <c r="F39" s="23">
        <v>-3.5927734516211299E-2</v>
      </c>
    </row>
    <row r="40" spans="1:6" x14ac:dyDescent="0.2">
      <c r="A40" s="22" t="s">
        <v>96</v>
      </c>
      <c r="B40" s="23" t="s">
        <v>94</v>
      </c>
      <c r="C40" s="23" t="s">
        <v>9</v>
      </c>
      <c r="D40" s="23">
        <v>1.5835616438356199</v>
      </c>
      <c r="E40" s="23">
        <v>1.72</v>
      </c>
      <c r="F40" s="23">
        <v>7.6911197292149902E-2</v>
      </c>
    </row>
    <row r="41" spans="1:6" x14ac:dyDescent="0.2">
      <c r="A41" s="22" t="s">
        <v>98</v>
      </c>
      <c r="B41" s="23" t="s">
        <v>94</v>
      </c>
      <c r="C41" s="23" t="s">
        <v>9</v>
      </c>
      <c r="D41" s="23">
        <v>1.5835616438356199</v>
      </c>
      <c r="E41" s="23">
        <v>1.48</v>
      </c>
      <c r="F41" s="23">
        <v>3.9081536546055902E-2</v>
      </c>
    </row>
    <row r="42" spans="1:6" x14ac:dyDescent="0.2">
      <c r="A42" s="22" t="s">
        <v>100</v>
      </c>
      <c r="B42" s="23" t="s">
        <v>94</v>
      </c>
      <c r="C42" s="23" t="s">
        <v>9</v>
      </c>
      <c r="D42" s="23">
        <v>1.5835616438356199</v>
      </c>
      <c r="E42" s="23">
        <v>1.7</v>
      </c>
      <c r="F42" s="23">
        <v>5.3935608815926697E-2</v>
      </c>
    </row>
    <row r="43" spans="1:6" x14ac:dyDescent="0.2">
      <c r="A43" s="22" t="s">
        <v>102</v>
      </c>
      <c r="B43" s="23" t="s">
        <v>94</v>
      </c>
      <c r="C43" s="23" t="s">
        <v>59</v>
      </c>
      <c r="D43" s="23">
        <v>0.79178082191780796</v>
      </c>
      <c r="E43" s="23">
        <v>1.38</v>
      </c>
      <c r="F43" s="23">
        <v>-1.8613593624464699E-3</v>
      </c>
    </row>
    <row r="44" spans="1:6" x14ac:dyDescent="0.2">
      <c r="A44" s="22" t="s">
        <v>105</v>
      </c>
      <c r="B44" s="23" t="s">
        <v>94</v>
      </c>
      <c r="C44" s="23" t="s">
        <v>59</v>
      </c>
      <c r="D44" s="23">
        <v>0.79178082191780796</v>
      </c>
      <c r="E44" s="23">
        <v>1.44</v>
      </c>
      <c r="F44" s="23">
        <v>-3.1053078688961601E-2</v>
      </c>
    </row>
    <row r="45" spans="1:6" x14ac:dyDescent="0.2">
      <c r="A45" s="22" t="s">
        <v>109</v>
      </c>
      <c r="B45" s="23" t="s">
        <v>94</v>
      </c>
      <c r="C45" s="23" t="s">
        <v>59</v>
      </c>
      <c r="D45" s="23">
        <v>0.79178082191780796</v>
      </c>
      <c r="E45" s="23">
        <v>1.32</v>
      </c>
      <c r="F45" s="23">
        <v>-1.7297749692327401E-2</v>
      </c>
    </row>
    <row r="46" spans="1:6" x14ac:dyDescent="0.2">
      <c r="A46" s="22" t="s">
        <v>112</v>
      </c>
      <c r="B46" s="23" t="s">
        <v>94</v>
      </c>
      <c r="C46" s="23" t="s">
        <v>59</v>
      </c>
      <c r="D46" s="23">
        <v>0.79178082191780796</v>
      </c>
      <c r="E46" s="23">
        <v>1.26</v>
      </c>
      <c r="F46" s="23">
        <v>3.9464046803931598E-2</v>
      </c>
    </row>
    <row r="47" spans="1:6" x14ac:dyDescent="0.2">
      <c r="A47" s="22" t="s">
        <v>115</v>
      </c>
      <c r="B47" s="23" t="s">
        <v>94</v>
      </c>
      <c r="C47" s="23" t="s">
        <v>59</v>
      </c>
      <c r="D47" s="23">
        <v>0.79178082191780796</v>
      </c>
      <c r="E47" s="23">
        <v>1.02</v>
      </c>
      <c r="F47" s="23">
        <v>2.3920647595023201E-2</v>
      </c>
    </row>
    <row r="48" spans="1:6" x14ac:dyDescent="0.2">
      <c r="A48" s="22" t="s">
        <v>118</v>
      </c>
      <c r="B48" s="23" t="s">
        <v>94</v>
      </c>
      <c r="C48" s="23" t="s">
        <v>119</v>
      </c>
      <c r="D48" s="23">
        <v>0.79178082191780796</v>
      </c>
      <c r="E48" s="23">
        <v>1.1599999999999999</v>
      </c>
      <c r="F48" s="23">
        <v>-1.0119460327048699E-2</v>
      </c>
    </row>
    <row r="49" spans="1:6" x14ac:dyDescent="0.2">
      <c r="A49" s="22" t="s">
        <v>121</v>
      </c>
      <c r="B49" s="23" t="s">
        <v>94</v>
      </c>
      <c r="C49" s="23" t="s">
        <v>122</v>
      </c>
      <c r="D49" s="23">
        <v>1.5835616438356199</v>
      </c>
      <c r="E49" s="23">
        <v>1.76</v>
      </c>
      <c r="F49" s="23">
        <v>4.2294203657293097E-2</v>
      </c>
    </row>
    <row r="50" spans="1:6" x14ac:dyDescent="0.2">
      <c r="A50" s="22" t="s">
        <v>125</v>
      </c>
      <c r="B50" s="23" t="s">
        <v>94</v>
      </c>
      <c r="C50" s="23" t="s">
        <v>122</v>
      </c>
      <c r="D50" s="23">
        <v>1.5835616438356199</v>
      </c>
      <c r="E50" s="23">
        <v>1.54</v>
      </c>
      <c r="F50" s="23">
        <v>5.1141510957177998E-2</v>
      </c>
    </row>
    <row r="51" spans="1:6" x14ac:dyDescent="0.2">
      <c r="A51" s="22" t="s">
        <v>128</v>
      </c>
      <c r="B51" s="23" t="s">
        <v>94</v>
      </c>
      <c r="C51" s="23" t="s">
        <v>122</v>
      </c>
      <c r="D51" s="23">
        <v>1.5835616438356199</v>
      </c>
      <c r="E51" s="23">
        <v>2.1</v>
      </c>
      <c r="F51" s="23">
        <v>6.5416187171241898E-3</v>
      </c>
    </row>
    <row r="52" spans="1:6" x14ac:dyDescent="0.2">
      <c r="A52" s="22" t="s">
        <v>130</v>
      </c>
      <c r="B52" s="23" t="s">
        <v>94</v>
      </c>
      <c r="C52" s="23" t="s">
        <v>122</v>
      </c>
      <c r="D52" s="23">
        <v>1.5835616438356199</v>
      </c>
      <c r="E52" s="23">
        <v>2</v>
      </c>
      <c r="F52" s="23">
        <v>6.6131769195799203E-2</v>
      </c>
    </row>
    <row r="53" spans="1:6" x14ac:dyDescent="0.2">
      <c r="A53" s="22" t="s">
        <v>133</v>
      </c>
      <c r="B53" s="23" t="s">
        <v>94</v>
      </c>
      <c r="C53" s="23" t="s">
        <v>122</v>
      </c>
      <c r="D53" s="23">
        <v>1.5835616438356199</v>
      </c>
      <c r="E53" s="23">
        <v>2.14</v>
      </c>
      <c r="F53" s="23">
        <v>5.3701345885223697E-2</v>
      </c>
    </row>
    <row r="54" spans="1:6" x14ac:dyDescent="0.2">
      <c r="A54" s="22" t="s">
        <v>136</v>
      </c>
      <c r="B54" s="23" t="s">
        <v>94</v>
      </c>
      <c r="C54" s="23" t="s">
        <v>122</v>
      </c>
      <c r="D54" s="23">
        <v>1.5835616438356199</v>
      </c>
      <c r="E54" s="23">
        <v>1.44</v>
      </c>
      <c r="F54" s="23">
        <v>-4.4627986130507703E-2</v>
      </c>
    </row>
    <row r="55" spans="1:6" x14ac:dyDescent="0.2">
      <c r="A55" s="22" t="s">
        <v>139</v>
      </c>
      <c r="B55" s="23" t="s">
        <v>94</v>
      </c>
      <c r="C55" s="23" t="s">
        <v>122</v>
      </c>
      <c r="D55" s="23">
        <v>1.5835616438356199</v>
      </c>
      <c r="E55" s="23">
        <v>1.58</v>
      </c>
      <c r="F55" s="23">
        <v>4.5227406708173302E-2</v>
      </c>
    </row>
    <row r="56" spans="1:6" x14ac:dyDescent="0.2">
      <c r="A56" s="22" t="s">
        <v>141</v>
      </c>
      <c r="B56" s="23" t="s">
        <v>94</v>
      </c>
      <c r="C56" s="23" t="s">
        <v>122</v>
      </c>
      <c r="D56" s="23">
        <v>1.5835616438356199</v>
      </c>
      <c r="E56" s="23">
        <v>1.38</v>
      </c>
      <c r="F56" s="23">
        <v>4.3638125798683501E-2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BE25-CADD-714D-9562-4A7483A97057}">
  <dimension ref="A1:C8"/>
  <sheetViews>
    <sheetView workbookViewId="0"/>
  </sheetViews>
  <sheetFormatPr baseColWidth="10" defaultRowHeight="16" x14ac:dyDescent="0.2"/>
  <cols>
    <col min="1" max="1" width="18" customWidth="1"/>
    <col min="2" max="2" width="51.1640625" customWidth="1"/>
  </cols>
  <sheetData>
    <row r="1" spans="1:3" x14ac:dyDescent="0.2">
      <c r="A1" s="2" t="s">
        <v>191</v>
      </c>
    </row>
    <row r="3" spans="1:3" x14ac:dyDescent="0.2">
      <c r="A3" s="20" t="s">
        <v>167</v>
      </c>
      <c r="B3" s="20" t="s">
        <v>168</v>
      </c>
    </row>
    <row r="4" spans="1:3" x14ac:dyDescent="0.2">
      <c r="A4" s="20" t="s">
        <v>1</v>
      </c>
      <c r="B4" s="20" t="s">
        <v>169</v>
      </c>
      <c r="C4" s="14"/>
    </row>
    <row r="5" spans="1:3" x14ac:dyDescent="0.2">
      <c r="A5" s="20" t="s">
        <v>170</v>
      </c>
      <c r="B5" s="20" t="s">
        <v>171</v>
      </c>
    </row>
    <row r="6" spans="1:3" x14ac:dyDescent="0.2">
      <c r="A6" s="20" t="s">
        <v>172</v>
      </c>
      <c r="B6" s="20" t="s">
        <v>173</v>
      </c>
    </row>
    <row r="7" spans="1:3" x14ac:dyDescent="0.2">
      <c r="A7" s="20" t="s">
        <v>174</v>
      </c>
      <c r="B7" s="20" t="s">
        <v>175</v>
      </c>
    </row>
    <row r="8" spans="1:3" x14ac:dyDescent="0.2">
      <c r="A8" s="20" t="s">
        <v>176</v>
      </c>
      <c r="B8" s="20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F338-3B84-6747-84F7-A776BDB771A3}">
  <dimension ref="A1:G56"/>
  <sheetViews>
    <sheetView workbookViewId="0"/>
  </sheetViews>
  <sheetFormatPr baseColWidth="10" defaultRowHeight="16" x14ac:dyDescent="0.2"/>
  <cols>
    <col min="7" max="7" width="16.1640625" customWidth="1"/>
  </cols>
  <sheetData>
    <row r="1" spans="1:7" x14ac:dyDescent="0.2">
      <c r="A1" s="2" t="s">
        <v>192</v>
      </c>
    </row>
    <row r="4" spans="1:7" ht="17" thickBot="1" x14ac:dyDescent="0.25">
      <c r="A4" s="24" t="s">
        <v>183</v>
      </c>
      <c r="B4" s="24" t="s">
        <v>184</v>
      </c>
      <c r="C4" s="24" t="s">
        <v>185</v>
      </c>
      <c r="D4" s="24" t="s">
        <v>186</v>
      </c>
      <c r="E4" s="24" t="s">
        <v>0</v>
      </c>
      <c r="F4" s="24" t="s">
        <v>1</v>
      </c>
      <c r="G4" s="24" t="s">
        <v>2</v>
      </c>
    </row>
    <row r="5" spans="1:7" ht="17" thickTop="1" x14ac:dyDescent="0.2">
      <c r="A5" s="22">
        <v>14</v>
      </c>
      <c r="B5" s="23">
        <v>49</v>
      </c>
      <c r="C5" s="23">
        <v>48</v>
      </c>
      <c r="D5" s="23">
        <v>13</v>
      </c>
      <c r="E5" s="23" t="s">
        <v>7</v>
      </c>
      <c r="F5" s="23" t="s">
        <v>8</v>
      </c>
      <c r="G5" s="23" t="s">
        <v>9</v>
      </c>
    </row>
    <row r="6" spans="1:7" x14ac:dyDescent="0.2">
      <c r="A6" s="22">
        <v>6</v>
      </c>
      <c r="B6" s="23">
        <v>11</v>
      </c>
      <c r="C6" s="23">
        <v>10</v>
      </c>
      <c r="D6" s="23">
        <v>4</v>
      </c>
      <c r="E6" s="23" t="s">
        <v>13</v>
      </c>
      <c r="F6" s="23" t="s">
        <v>8</v>
      </c>
      <c r="G6" s="23" t="s">
        <v>9</v>
      </c>
    </row>
    <row r="7" spans="1:7" x14ac:dyDescent="0.2">
      <c r="A7" s="22">
        <v>0</v>
      </c>
      <c r="B7" s="23">
        <v>1</v>
      </c>
      <c r="C7" s="23">
        <v>0</v>
      </c>
      <c r="D7" s="23">
        <v>0</v>
      </c>
      <c r="E7" s="23" t="s">
        <v>16</v>
      </c>
      <c r="F7" s="23" t="s">
        <v>8</v>
      </c>
      <c r="G7" s="23" t="s">
        <v>9</v>
      </c>
    </row>
    <row r="8" spans="1:7" x14ac:dyDescent="0.2">
      <c r="A8" s="22">
        <v>1</v>
      </c>
      <c r="B8" s="23">
        <v>1</v>
      </c>
      <c r="C8" s="23">
        <v>0</v>
      </c>
      <c r="D8" s="23">
        <v>0</v>
      </c>
      <c r="E8" s="23" t="s">
        <v>19</v>
      </c>
      <c r="F8" s="23" t="s">
        <v>8</v>
      </c>
      <c r="G8" s="23" t="s">
        <v>9</v>
      </c>
    </row>
    <row r="9" spans="1:7" x14ac:dyDescent="0.2">
      <c r="A9" s="22">
        <v>0</v>
      </c>
      <c r="B9" s="23">
        <v>1</v>
      </c>
      <c r="C9" s="23">
        <v>0</v>
      </c>
      <c r="D9" s="23">
        <v>0</v>
      </c>
      <c r="E9" s="23" t="s">
        <v>22</v>
      </c>
      <c r="F9" s="23" t="s">
        <v>8</v>
      </c>
      <c r="G9" s="23" t="s">
        <v>9</v>
      </c>
    </row>
    <row r="10" spans="1:7" x14ac:dyDescent="0.2">
      <c r="A10" s="22">
        <v>0</v>
      </c>
      <c r="B10" s="23">
        <v>1</v>
      </c>
      <c r="C10" s="23">
        <v>0</v>
      </c>
      <c r="D10" s="23">
        <v>0</v>
      </c>
      <c r="E10" s="23" t="s">
        <v>24</v>
      </c>
      <c r="F10" s="23" t="s">
        <v>8</v>
      </c>
      <c r="G10" s="23" t="s">
        <v>9</v>
      </c>
    </row>
    <row r="11" spans="1:7" x14ac:dyDescent="0.2">
      <c r="A11" s="22">
        <v>2</v>
      </c>
      <c r="B11" s="23">
        <v>5</v>
      </c>
      <c r="C11" s="23">
        <v>4</v>
      </c>
      <c r="D11" s="23">
        <v>2</v>
      </c>
      <c r="E11" s="23" t="s">
        <v>26</v>
      </c>
      <c r="F11" s="23" t="s">
        <v>27</v>
      </c>
      <c r="G11" s="23" t="s">
        <v>9</v>
      </c>
    </row>
    <row r="12" spans="1:7" x14ac:dyDescent="0.2">
      <c r="A12" s="22">
        <v>1</v>
      </c>
      <c r="B12" s="23">
        <v>1</v>
      </c>
      <c r="C12" s="23">
        <v>0</v>
      </c>
      <c r="D12" s="23">
        <v>0</v>
      </c>
      <c r="E12" s="23" t="s">
        <v>30</v>
      </c>
      <c r="F12" s="23" t="s">
        <v>8</v>
      </c>
      <c r="G12" s="23" t="s">
        <v>31</v>
      </c>
    </row>
    <row r="13" spans="1:7" x14ac:dyDescent="0.2">
      <c r="A13" s="22">
        <v>0</v>
      </c>
      <c r="B13" s="23">
        <v>1</v>
      </c>
      <c r="C13" s="23">
        <v>0</v>
      </c>
      <c r="D13" s="23">
        <v>0</v>
      </c>
      <c r="E13" s="23" t="s">
        <v>35</v>
      </c>
      <c r="F13" s="23" t="s">
        <v>8</v>
      </c>
      <c r="G13" s="23" t="s">
        <v>31</v>
      </c>
    </row>
    <row r="14" spans="1:7" x14ac:dyDescent="0.2">
      <c r="A14" s="22">
        <v>1</v>
      </c>
      <c r="B14" s="23">
        <v>1</v>
      </c>
      <c r="C14" s="23">
        <v>0</v>
      </c>
      <c r="D14" s="23">
        <v>0</v>
      </c>
      <c r="E14" s="23" t="s">
        <v>37</v>
      </c>
      <c r="F14" s="23" t="s">
        <v>8</v>
      </c>
      <c r="G14" s="23" t="s">
        <v>31</v>
      </c>
    </row>
    <row r="15" spans="1:7" x14ac:dyDescent="0.2">
      <c r="A15" s="22">
        <v>0</v>
      </c>
      <c r="B15" s="23">
        <v>1</v>
      </c>
      <c r="C15" s="23">
        <v>0</v>
      </c>
      <c r="D15" s="23">
        <v>0</v>
      </c>
      <c r="E15" s="23" t="s">
        <v>39</v>
      </c>
      <c r="F15" s="23" t="s">
        <v>8</v>
      </c>
      <c r="G15" s="23" t="s">
        <v>31</v>
      </c>
    </row>
    <row r="16" spans="1:7" x14ac:dyDescent="0.2">
      <c r="A16" s="22">
        <v>1</v>
      </c>
      <c r="B16" s="23">
        <v>1</v>
      </c>
      <c r="C16" s="23">
        <v>0</v>
      </c>
      <c r="D16" s="23">
        <v>0</v>
      </c>
      <c r="E16" s="23" t="s">
        <v>41</v>
      </c>
      <c r="F16" s="23" t="s">
        <v>8</v>
      </c>
      <c r="G16" s="23" t="s">
        <v>31</v>
      </c>
    </row>
    <row r="17" spans="1:7" x14ac:dyDescent="0.2">
      <c r="A17" s="22">
        <v>2</v>
      </c>
      <c r="B17" s="23">
        <v>3</v>
      </c>
      <c r="C17" s="23">
        <v>2</v>
      </c>
      <c r="D17" s="23">
        <v>1</v>
      </c>
      <c r="E17" s="23" t="s">
        <v>42</v>
      </c>
      <c r="F17" s="23" t="s">
        <v>8</v>
      </c>
      <c r="G17" s="23" t="s">
        <v>31</v>
      </c>
    </row>
    <row r="18" spans="1:7" x14ac:dyDescent="0.2">
      <c r="A18" s="22">
        <v>1</v>
      </c>
      <c r="B18" s="23">
        <v>3</v>
      </c>
      <c r="C18" s="23">
        <v>2</v>
      </c>
      <c r="D18" s="23">
        <v>1</v>
      </c>
      <c r="E18" s="23" t="s">
        <v>45</v>
      </c>
      <c r="F18" s="23" t="s">
        <v>8</v>
      </c>
      <c r="G18" s="23" t="s">
        <v>31</v>
      </c>
    </row>
    <row r="19" spans="1:7" x14ac:dyDescent="0.2">
      <c r="A19" s="22">
        <v>2</v>
      </c>
      <c r="B19" s="23">
        <v>3</v>
      </c>
      <c r="C19" s="23">
        <v>2</v>
      </c>
      <c r="D19" s="23">
        <v>1</v>
      </c>
      <c r="E19" s="23" t="s">
        <v>48</v>
      </c>
      <c r="F19" s="23" t="s">
        <v>8</v>
      </c>
      <c r="G19" s="23" t="s">
        <v>31</v>
      </c>
    </row>
    <row r="20" spans="1:7" x14ac:dyDescent="0.2">
      <c r="A20" s="22">
        <v>1</v>
      </c>
      <c r="B20" s="23">
        <v>1</v>
      </c>
      <c r="C20" s="23">
        <v>0</v>
      </c>
      <c r="D20" s="23">
        <v>0</v>
      </c>
      <c r="E20" s="23" t="s">
        <v>50</v>
      </c>
      <c r="F20" s="23" t="s">
        <v>8</v>
      </c>
      <c r="G20" s="23" t="s">
        <v>51</v>
      </c>
    </row>
    <row r="21" spans="1:7" x14ac:dyDescent="0.2">
      <c r="A21" s="22">
        <v>1</v>
      </c>
      <c r="B21" s="23">
        <v>1</v>
      </c>
      <c r="C21" s="23">
        <v>0</v>
      </c>
      <c r="D21" s="23">
        <v>0</v>
      </c>
      <c r="E21" s="23" t="s">
        <v>54</v>
      </c>
      <c r="F21" s="23" t="s">
        <v>8</v>
      </c>
      <c r="G21" s="23" t="s">
        <v>51</v>
      </c>
    </row>
    <row r="22" spans="1:7" x14ac:dyDescent="0.2">
      <c r="A22" s="22">
        <v>1</v>
      </c>
      <c r="B22" s="23">
        <v>1</v>
      </c>
      <c r="C22" s="23">
        <v>0</v>
      </c>
      <c r="D22" s="23">
        <v>0</v>
      </c>
      <c r="E22" s="23" t="s">
        <v>56</v>
      </c>
      <c r="F22" s="23" t="s">
        <v>8</v>
      </c>
      <c r="G22" s="23" t="s">
        <v>51</v>
      </c>
    </row>
    <row r="23" spans="1:7" x14ac:dyDescent="0.2">
      <c r="A23" s="22">
        <v>1</v>
      </c>
      <c r="B23" s="23">
        <v>1</v>
      </c>
      <c r="C23" s="23">
        <v>0</v>
      </c>
      <c r="D23" s="23">
        <v>0</v>
      </c>
      <c r="E23" s="23" t="s">
        <v>58</v>
      </c>
      <c r="F23" s="23" t="s">
        <v>8</v>
      </c>
      <c r="G23" s="23" t="s">
        <v>59</v>
      </c>
    </row>
    <row r="24" spans="1:7" x14ac:dyDescent="0.2">
      <c r="A24" s="22">
        <v>1</v>
      </c>
      <c r="B24" s="23">
        <v>3</v>
      </c>
      <c r="C24" s="23">
        <v>2</v>
      </c>
      <c r="D24" s="23">
        <v>1</v>
      </c>
      <c r="E24" s="23" t="s">
        <v>61</v>
      </c>
      <c r="F24" s="23" t="s">
        <v>8</v>
      </c>
      <c r="G24" s="23" t="s">
        <v>59</v>
      </c>
    </row>
    <row r="25" spans="1:7" x14ac:dyDescent="0.2">
      <c r="A25" s="22">
        <v>1</v>
      </c>
      <c r="B25" s="23">
        <v>1</v>
      </c>
      <c r="C25" s="23">
        <v>0</v>
      </c>
      <c r="D25" s="23">
        <v>0</v>
      </c>
      <c r="E25" s="23" t="s">
        <v>63</v>
      </c>
      <c r="F25" s="23" t="s">
        <v>8</v>
      </c>
      <c r="G25" s="23" t="s">
        <v>59</v>
      </c>
    </row>
    <row r="26" spans="1:7" x14ac:dyDescent="0.2">
      <c r="A26" s="22">
        <v>0</v>
      </c>
      <c r="B26" s="23">
        <v>1</v>
      </c>
      <c r="C26" s="23">
        <v>0</v>
      </c>
      <c r="D26" s="23">
        <v>0</v>
      </c>
      <c r="E26" s="23" t="s">
        <v>65</v>
      </c>
      <c r="F26" s="23" t="s">
        <v>8</v>
      </c>
      <c r="G26" s="23" t="s">
        <v>59</v>
      </c>
    </row>
    <row r="27" spans="1:7" x14ac:dyDescent="0.2">
      <c r="A27" s="22">
        <v>1</v>
      </c>
      <c r="B27" s="23">
        <v>1</v>
      </c>
      <c r="C27" s="23">
        <v>0</v>
      </c>
      <c r="D27" s="23">
        <v>0</v>
      </c>
      <c r="E27" s="23" t="s">
        <v>66</v>
      </c>
      <c r="F27" s="23" t="s">
        <v>8</v>
      </c>
      <c r="G27" s="23" t="s">
        <v>59</v>
      </c>
    </row>
    <row r="28" spans="1:7" x14ac:dyDescent="0.2">
      <c r="A28" s="22">
        <v>0</v>
      </c>
      <c r="B28" s="23">
        <v>1</v>
      </c>
      <c r="C28" s="23">
        <v>0</v>
      </c>
      <c r="D28" s="23">
        <v>0</v>
      </c>
      <c r="E28" s="23" t="s">
        <v>68</v>
      </c>
      <c r="F28" s="23" t="s">
        <v>8</v>
      </c>
      <c r="G28" s="23" t="s">
        <v>59</v>
      </c>
    </row>
    <row r="29" spans="1:7" x14ac:dyDescent="0.2">
      <c r="A29" s="22">
        <v>4</v>
      </c>
      <c r="B29" s="23">
        <v>7</v>
      </c>
      <c r="C29" s="23">
        <v>6</v>
      </c>
      <c r="D29" s="23">
        <v>3</v>
      </c>
      <c r="E29" s="23" t="s">
        <v>69</v>
      </c>
      <c r="F29" s="23" t="s">
        <v>8</v>
      </c>
      <c r="G29" s="23" t="s">
        <v>59</v>
      </c>
    </row>
    <row r="30" spans="1:7" x14ac:dyDescent="0.2">
      <c r="A30" s="22">
        <v>1</v>
      </c>
      <c r="B30" s="23">
        <v>1</v>
      </c>
      <c r="C30" s="23">
        <v>0</v>
      </c>
      <c r="D30" s="23">
        <v>0</v>
      </c>
      <c r="E30" s="23" t="s">
        <v>71</v>
      </c>
      <c r="F30" s="23" t="s">
        <v>8</v>
      </c>
      <c r="G30" s="23" t="s">
        <v>59</v>
      </c>
    </row>
    <row r="31" spans="1:7" x14ac:dyDescent="0.2">
      <c r="A31" s="22">
        <v>0</v>
      </c>
      <c r="B31" s="23">
        <v>1</v>
      </c>
      <c r="C31" s="23">
        <v>0</v>
      </c>
      <c r="D31" s="23">
        <v>0</v>
      </c>
      <c r="E31" s="23" t="s">
        <v>73</v>
      </c>
      <c r="F31" s="23" t="s">
        <v>8</v>
      </c>
      <c r="G31" s="23" t="s">
        <v>59</v>
      </c>
    </row>
    <row r="32" spans="1:7" x14ac:dyDescent="0.2">
      <c r="A32" s="22">
        <v>0</v>
      </c>
      <c r="B32" s="23">
        <v>1</v>
      </c>
      <c r="C32" s="23">
        <v>0</v>
      </c>
      <c r="D32" s="23">
        <v>0</v>
      </c>
      <c r="E32" s="23" t="s">
        <v>76</v>
      </c>
      <c r="F32" s="23" t="s">
        <v>8</v>
      </c>
      <c r="G32" s="23" t="s">
        <v>59</v>
      </c>
    </row>
    <row r="33" spans="1:7" x14ac:dyDescent="0.2">
      <c r="A33" s="22">
        <v>0</v>
      </c>
      <c r="B33" s="23">
        <v>1</v>
      </c>
      <c r="C33" s="23">
        <v>0</v>
      </c>
      <c r="D33" s="23">
        <v>0</v>
      </c>
      <c r="E33" s="23" t="s">
        <v>78</v>
      </c>
      <c r="F33" s="23" t="s">
        <v>8</v>
      </c>
      <c r="G33" s="23" t="s">
        <v>59</v>
      </c>
    </row>
    <row r="34" spans="1:7" x14ac:dyDescent="0.2">
      <c r="A34" s="22">
        <v>1</v>
      </c>
      <c r="B34" s="23">
        <v>1</v>
      </c>
      <c r="C34" s="23">
        <v>0</v>
      </c>
      <c r="D34" s="23">
        <v>0</v>
      </c>
      <c r="E34" s="23" t="s">
        <v>82</v>
      </c>
      <c r="F34" s="23" t="s">
        <v>8</v>
      </c>
      <c r="G34" s="23" t="s">
        <v>59</v>
      </c>
    </row>
    <row r="35" spans="1:7" x14ac:dyDescent="0.2">
      <c r="A35" s="22">
        <v>0</v>
      </c>
      <c r="B35" s="23">
        <v>1</v>
      </c>
      <c r="C35" s="23">
        <v>0</v>
      </c>
      <c r="D35" s="23">
        <v>0</v>
      </c>
      <c r="E35" s="23" t="s">
        <v>85</v>
      </c>
      <c r="F35" s="23" t="s">
        <v>86</v>
      </c>
      <c r="G35" s="23" t="s">
        <v>59</v>
      </c>
    </row>
    <row r="36" spans="1:7" x14ac:dyDescent="0.2">
      <c r="A36" s="22">
        <v>2</v>
      </c>
      <c r="B36" s="23">
        <v>3</v>
      </c>
      <c r="C36" s="23">
        <v>2</v>
      </c>
      <c r="D36" s="23">
        <v>1</v>
      </c>
      <c r="E36" s="23" t="s">
        <v>88</v>
      </c>
      <c r="F36" s="23" t="s">
        <v>8</v>
      </c>
      <c r="G36" s="23" t="s">
        <v>59</v>
      </c>
    </row>
    <row r="37" spans="1:7" x14ac:dyDescent="0.2">
      <c r="A37" s="22">
        <v>2</v>
      </c>
      <c r="B37" s="23">
        <v>9</v>
      </c>
      <c r="C37" s="23">
        <v>8</v>
      </c>
      <c r="D37" s="23">
        <v>3</v>
      </c>
      <c r="E37" s="23" t="s">
        <v>90</v>
      </c>
      <c r="F37" s="23" t="s">
        <v>8</v>
      </c>
      <c r="G37" s="23" t="s">
        <v>59</v>
      </c>
    </row>
    <row r="38" spans="1:7" x14ac:dyDescent="0.2">
      <c r="A38" s="22">
        <v>1</v>
      </c>
      <c r="B38" s="23">
        <v>1</v>
      </c>
      <c r="C38" s="23">
        <v>0</v>
      </c>
      <c r="D38" s="23">
        <v>0</v>
      </c>
      <c r="E38" s="23" t="s">
        <v>91</v>
      </c>
      <c r="F38" s="23" t="s">
        <v>8</v>
      </c>
      <c r="G38" s="23" t="s">
        <v>59</v>
      </c>
    </row>
    <row r="39" spans="1:7" x14ac:dyDescent="0.2">
      <c r="A39" s="22">
        <v>1</v>
      </c>
      <c r="B39" s="23">
        <v>3</v>
      </c>
      <c r="C39" s="23">
        <v>2</v>
      </c>
      <c r="D39" s="23">
        <v>1</v>
      </c>
      <c r="E39" s="23" t="s">
        <v>93</v>
      </c>
      <c r="F39" s="23" t="s">
        <v>94</v>
      </c>
      <c r="G39" s="23" t="s">
        <v>9</v>
      </c>
    </row>
    <row r="40" spans="1:7" x14ac:dyDescent="0.2">
      <c r="A40" s="22">
        <v>2</v>
      </c>
      <c r="B40" s="23">
        <v>3</v>
      </c>
      <c r="C40" s="23">
        <v>2</v>
      </c>
      <c r="D40" s="23">
        <v>1</v>
      </c>
      <c r="E40" s="23" t="s">
        <v>96</v>
      </c>
      <c r="F40" s="23" t="s">
        <v>94</v>
      </c>
      <c r="G40" s="23" t="s">
        <v>9</v>
      </c>
    </row>
    <row r="41" spans="1:7" x14ac:dyDescent="0.2">
      <c r="A41" s="22">
        <v>0</v>
      </c>
      <c r="B41" s="23">
        <v>1</v>
      </c>
      <c r="C41" s="23">
        <v>0</v>
      </c>
      <c r="D41" s="23">
        <v>0</v>
      </c>
      <c r="E41" s="23" t="s">
        <v>98</v>
      </c>
      <c r="F41" s="23" t="s">
        <v>94</v>
      </c>
      <c r="G41" s="23" t="s">
        <v>9</v>
      </c>
    </row>
    <row r="42" spans="1:7" x14ac:dyDescent="0.2">
      <c r="A42" s="22">
        <v>1</v>
      </c>
      <c r="B42" s="23">
        <v>3</v>
      </c>
      <c r="C42" s="23">
        <v>2</v>
      </c>
      <c r="D42" s="23">
        <v>1</v>
      </c>
      <c r="E42" s="23" t="s">
        <v>100</v>
      </c>
      <c r="F42" s="23" t="s">
        <v>94</v>
      </c>
      <c r="G42" s="23" t="s">
        <v>9</v>
      </c>
    </row>
    <row r="43" spans="1:7" x14ac:dyDescent="0.2">
      <c r="A43" s="22">
        <v>0</v>
      </c>
      <c r="B43" s="23">
        <v>1</v>
      </c>
      <c r="C43" s="23">
        <v>0</v>
      </c>
      <c r="D43" s="23">
        <v>0</v>
      </c>
      <c r="E43" s="23" t="s">
        <v>102</v>
      </c>
      <c r="F43" s="23" t="s">
        <v>94</v>
      </c>
      <c r="G43" s="23" t="s">
        <v>59</v>
      </c>
    </row>
    <row r="44" spans="1:7" x14ac:dyDescent="0.2">
      <c r="A44" s="22">
        <v>3</v>
      </c>
      <c r="B44" s="23">
        <v>5</v>
      </c>
      <c r="C44" s="23">
        <v>4</v>
      </c>
      <c r="D44" s="23">
        <v>2</v>
      </c>
      <c r="E44" s="23" t="s">
        <v>105</v>
      </c>
      <c r="F44" s="23" t="s">
        <v>94</v>
      </c>
      <c r="G44" s="23" t="s">
        <v>59</v>
      </c>
    </row>
    <row r="45" spans="1:7" x14ac:dyDescent="0.2">
      <c r="A45" s="22">
        <v>4</v>
      </c>
      <c r="B45" s="23">
        <v>9</v>
      </c>
      <c r="C45" s="23">
        <v>8</v>
      </c>
      <c r="D45" s="23">
        <v>3</v>
      </c>
      <c r="E45" s="23" t="s">
        <v>109</v>
      </c>
      <c r="F45" s="23" t="s">
        <v>94</v>
      </c>
      <c r="G45" s="23" t="s">
        <v>59</v>
      </c>
    </row>
    <row r="46" spans="1:7" x14ac:dyDescent="0.2">
      <c r="A46" s="22">
        <v>1</v>
      </c>
      <c r="B46" s="23">
        <v>1</v>
      </c>
      <c r="C46" s="23">
        <v>0</v>
      </c>
      <c r="D46" s="23">
        <v>0</v>
      </c>
      <c r="E46" s="23" t="s">
        <v>112</v>
      </c>
      <c r="F46" s="23" t="s">
        <v>94</v>
      </c>
      <c r="G46" s="23" t="s">
        <v>59</v>
      </c>
    </row>
    <row r="47" spans="1:7" x14ac:dyDescent="0.2">
      <c r="A47" s="22">
        <v>1</v>
      </c>
      <c r="B47" s="23">
        <v>1</v>
      </c>
      <c r="C47" s="23">
        <v>0</v>
      </c>
      <c r="D47" s="23">
        <v>0</v>
      </c>
      <c r="E47" s="23" t="s">
        <v>115</v>
      </c>
      <c r="F47" s="23" t="s">
        <v>94</v>
      </c>
      <c r="G47" s="23" t="s">
        <v>59</v>
      </c>
    </row>
    <row r="48" spans="1:7" x14ac:dyDescent="0.2">
      <c r="A48" s="22">
        <v>4</v>
      </c>
      <c r="B48" s="23">
        <v>7</v>
      </c>
      <c r="C48" s="23">
        <v>6</v>
      </c>
      <c r="D48" s="23">
        <v>3</v>
      </c>
      <c r="E48" s="23" t="s">
        <v>118</v>
      </c>
      <c r="F48" s="23" t="s">
        <v>94</v>
      </c>
      <c r="G48" s="23" t="s">
        <v>119</v>
      </c>
    </row>
    <row r="49" spans="1:7" x14ac:dyDescent="0.2">
      <c r="A49" s="22">
        <v>4</v>
      </c>
      <c r="B49" s="23">
        <v>7</v>
      </c>
      <c r="C49" s="23">
        <v>6</v>
      </c>
      <c r="D49" s="23">
        <v>3</v>
      </c>
      <c r="E49" s="23" t="s">
        <v>121</v>
      </c>
      <c r="F49" s="23" t="s">
        <v>94</v>
      </c>
      <c r="G49" s="23" t="s">
        <v>122</v>
      </c>
    </row>
    <row r="50" spans="1:7" x14ac:dyDescent="0.2">
      <c r="A50" s="22">
        <v>1</v>
      </c>
      <c r="B50" s="23">
        <v>1</v>
      </c>
      <c r="C50" s="23">
        <v>0</v>
      </c>
      <c r="D50" s="23">
        <v>0</v>
      </c>
      <c r="E50" s="23" t="s">
        <v>125</v>
      </c>
      <c r="F50" s="23" t="s">
        <v>94</v>
      </c>
      <c r="G50" s="23" t="s">
        <v>122</v>
      </c>
    </row>
    <row r="51" spans="1:7" x14ac:dyDescent="0.2">
      <c r="A51" s="22">
        <v>0</v>
      </c>
      <c r="B51" s="23">
        <v>1</v>
      </c>
      <c r="C51" s="23">
        <v>0</v>
      </c>
      <c r="D51" s="23">
        <v>0</v>
      </c>
      <c r="E51" s="23" t="s">
        <v>128</v>
      </c>
      <c r="F51" s="23" t="s">
        <v>94</v>
      </c>
      <c r="G51" s="23" t="s">
        <v>122</v>
      </c>
    </row>
    <row r="52" spans="1:7" x14ac:dyDescent="0.2">
      <c r="A52" s="22">
        <v>2</v>
      </c>
      <c r="B52" s="23">
        <v>5</v>
      </c>
      <c r="C52" s="23">
        <v>4</v>
      </c>
      <c r="D52" s="23">
        <v>2</v>
      </c>
      <c r="E52" s="23" t="s">
        <v>130</v>
      </c>
      <c r="F52" s="23" t="s">
        <v>94</v>
      </c>
      <c r="G52" s="23" t="s">
        <v>122</v>
      </c>
    </row>
    <row r="53" spans="1:7" x14ac:dyDescent="0.2">
      <c r="A53" s="22">
        <v>1</v>
      </c>
      <c r="B53" s="23">
        <v>3</v>
      </c>
      <c r="C53" s="23">
        <v>2</v>
      </c>
      <c r="D53" s="23">
        <v>1</v>
      </c>
      <c r="E53" s="23" t="s">
        <v>133</v>
      </c>
      <c r="F53" s="23" t="s">
        <v>94</v>
      </c>
      <c r="G53" s="23" t="s">
        <v>122</v>
      </c>
    </row>
    <row r="54" spans="1:7" x14ac:dyDescent="0.2">
      <c r="A54" s="22">
        <v>1</v>
      </c>
      <c r="B54" s="23">
        <v>3</v>
      </c>
      <c r="C54" s="23">
        <v>2</v>
      </c>
      <c r="D54" s="23">
        <v>1</v>
      </c>
      <c r="E54" s="23" t="s">
        <v>136</v>
      </c>
      <c r="F54" s="23" t="s">
        <v>94</v>
      </c>
      <c r="G54" s="23" t="s">
        <v>122</v>
      </c>
    </row>
    <row r="55" spans="1:7" x14ac:dyDescent="0.2">
      <c r="A55" s="22">
        <v>6</v>
      </c>
      <c r="B55" s="23">
        <v>13</v>
      </c>
      <c r="C55" s="23">
        <v>12</v>
      </c>
      <c r="D55" s="23">
        <v>5</v>
      </c>
      <c r="E55" s="23" t="s">
        <v>139</v>
      </c>
      <c r="F55" s="23" t="s">
        <v>94</v>
      </c>
      <c r="G55" s="23" t="s">
        <v>122</v>
      </c>
    </row>
    <row r="56" spans="1:7" x14ac:dyDescent="0.2">
      <c r="A56" s="22">
        <v>0</v>
      </c>
      <c r="B56" s="23">
        <v>1</v>
      </c>
      <c r="C56" s="23">
        <v>0</v>
      </c>
      <c r="D56" s="23">
        <v>0</v>
      </c>
      <c r="E56" s="23" t="s">
        <v>141</v>
      </c>
      <c r="F56" s="23" t="s">
        <v>94</v>
      </c>
      <c r="G56" s="23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7335-7320-034E-881D-E80532C250BF}">
  <dimension ref="A1:T19"/>
  <sheetViews>
    <sheetView tabSelected="1" workbookViewId="0"/>
  </sheetViews>
  <sheetFormatPr baseColWidth="10" defaultRowHeight="16" x14ac:dyDescent="0.2"/>
  <sheetData>
    <row r="1" spans="1:20" x14ac:dyDescent="0.2">
      <c r="A1" s="2" t="s">
        <v>193</v>
      </c>
    </row>
    <row r="3" spans="1:20" x14ac:dyDescent="0.2">
      <c r="A3" s="22" t="s">
        <v>194</v>
      </c>
      <c r="B3" s="22" t="s">
        <v>195</v>
      </c>
      <c r="C3" s="22" t="s">
        <v>196</v>
      </c>
      <c r="D3" s="22" t="s">
        <v>197</v>
      </c>
      <c r="E3" s="22" t="s">
        <v>198</v>
      </c>
      <c r="F3" s="22" t="s">
        <v>199</v>
      </c>
      <c r="G3" s="22" t="s">
        <v>200</v>
      </c>
      <c r="H3" s="22" t="s">
        <v>1</v>
      </c>
      <c r="I3" s="22" t="s">
        <v>2</v>
      </c>
      <c r="J3" s="22" t="s">
        <v>3</v>
      </c>
      <c r="K3" s="22" t="s">
        <v>201</v>
      </c>
      <c r="L3" s="22" t="s">
        <v>202</v>
      </c>
      <c r="M3" s="22" t="s">
        <v>203</v>
      </c>
      <c r="N3" s="22" t="s">
        <v>204</v>
      </c>
      <c r="O3" s="22" t="s">
        <v>205</v>
      </c>
      <c r="P3" s="22" t="s">
        <v>206</v>
      </c>
      <c r="Q3" s="22" t="s">
        <v>207</v>
      </c>
      <c r="R3" s="22" t="s">
        <v>208</v>
      </c>
      <c r="S3" s="22" t="s">
        <v>209</v>
      </c>
      <c r="T3" s="22" t="s">
        <v>210</v>
      </c>
    </row>
    <row r="4" spans="1:20" x14ac:dyDescent="0.2">
      <c r="A4" s="22" t="s">
        <v>42</v>
      </c>
      <c r="B4" s="23">
        <v>11</v>
      </c>
      <c r="C4" s="23">
        <v>0</v>
      </c>
      <c r="D4" s="23">
        <v>223</v>
      </c>
      <c r="E4" s="23">
        <v>11</v>
      </c>
      <c r="F4" s="23">
        <v>0.212847400334501</v>
      </c>
      <c r="G4" s="23">
        <v>0.26706810106349399</v>
      </c>
      <c r="H4" s="23" t="s">
        <v>8</v>
      </c>
      <c r="I4" s="23" t="s">
        <v>31</v>
      </c>
      <c r="J4" s="23" t="s">
        <v>20</v>
      </c>
      <c r="K4" s="23" t="s">
        <v>211</v>
      </c>
      <c r="L4" s="23" t="s">
        <v>212</v>
      </c>
      <c r="M4" s="23" t="s">
        <v>146</v>
      </c>
      <c r="N4" s="23">
        <v>38.171131157687803</v>
      </c>
      <c r="O4" s="23">
        <v>0.78754161004521495</v>
      </c>
      <c r="P4" s="23">
        <v>0</v>
      </c>
      <c r="Q4" s="23">
        <v>3.2115867768830002</v>
      </c>
      <c r="R4" s="23">
        <v>5.5358311379814999</v>
      </c>
      <c r="S4" s="23">
        <v>10.233899765971699</v>
      </c>
      <c r="T4" s="23">
        <v>16.533579043697799</v>
      </c>
    </row>
    <row r="5" spans="1:20" x14ac:dyDescent="0.2">
      <c r="A5" s="22" t="s">
        <v>109</v>
      </c>
      <c r="B5" s="23">
        <v>12</v>
      </c>
      <c r="C5" s="23">
        <v>0</v>
      </c>
      <c r="D5" s="23">
        <v>287</v>
      </c>
      <c r="E5" s="23">
        <v>12</v>
      </c>
      <c r="F5" s="23">
        <v>0.421104123054932</v>
      </c>
      <c r="G5" s="23">
        <v>0.14460955574170201</v>
      </c>
      <c r="H5" s="23" t="s">
        <v>94</v>
      </c>
      <c r="I5" s="23" t="s">
        <v>59</v>
      </c>
      <c r="J5" s="23" t="s">
        <v>28</v>
      </c>
      <c r="K5" s="23" t="s">
        <v>213</v>
      </c>
      <c r="L5" s="23" t="s">
        <v>212</v>
      </c>
      <c r="M5" s="23" t="s">
        <v>214</v>
      </c>
      <c r="N5" s="23">
        <v>60.077663816376202</v>
      </c>
      <c r="O5" s="23">
        <v>0.74705386561412002</v>
      </c>
      <c r="P5" s="23">
        <v>3.1097358092864802</v>
      </c>
      <c r="Q5" s="23">
        <v>6.1542071352465904</v>
      </c>
      <c r="R5" s="23">
        <v>0</v>
      </c>
      <c r="S5" s="23">
        <v>5.0660356480423197</v>
      </c>
      <c r="T5" s="23">
        <v>12.571428585969</v>
      </c>
    </row>
    <row r="6" spans="1:20" x14ac:dyDescent="0.2">
      <c r="A6" s="22" t="s">
        <v>45</v>
      </c>
      <c r="B6" s="23">
        <v>11</v>
      </c>
      <c r="C6" s="23">
        <v>0</v>
      </c>
      <c r="D6" s="23">
        <v>341</v>
      </c>
      <c r="E6" s="23">
        <v>12</v>
      </c>
      <c r="F6" s="23">
        <v>0.40321046143200701</v>
      </c>
      <c r="G6" s="23">
        <v>1.69652409642509E-3</v>
      </c>
      <c r="H6" s="23" t="s">
        <v>8</v>
      </c>
      <c r="I6" s="23" t="s">
        <v>31</v>
      </c>
      <c r="J6" s="23" t="s">
        <v>20</v>
      </c>
      <c r="K6" s="23" t="s">
        <v>211</v>
      </c>
      <c r="L6" s="23" t="s">
        <v>215</v>
      </c>
      <c r="M6" s="23" t="s">
        <v>214</v>
      </c>
      <c r="N6" s="23">
        <v>45.221215337481297</v>
      </c>
      <c r="O6" s="23">
        <v>0.54606197298216497</v>
      </c>
      <c r="P6" s="23">
        <v>1.79561047910149</v>
      </c>
      <c r="Q6" s="23">
        <v>4.36677539247236</v>
      </c>
      <c r="R6" s="23">
        <v>0</v>
      </c>
      <c r="S6" s="23">
        <v>8.2669386664962801</v>
      </c>
      <c r="T6" s="23">
        <v>2.4405797229776098</v>
      </c>
    </row>
    <row r="7" spans="1:20" x14ac:dyDescent="0.2">
      <c r="A7" s="22" t="s">
        <v>78</v>
      </c>
      <c r="B7" s="23">
        <v>15</v>
      </c>
      <c r="C7" s="23">
        <v>0</v>
      </c>
      <c r="D7" s="23">
        <v>575</v>
      </c>
      <c r="E7" s="23">
        <v>35</v>
      </c>
      <c r="F7" s="23">
        <v>7.0137481795880502E-2</v>
      </c>
      <c r="G7" s="23">
        <v>0.268908607737609</v>
      </c>
      <c r="H7" s="23" t="s">
        <v>8</v>
      </c>
      <c r="I7" s="23" t="s">
        <v>59</v>
      </c>
      <c r="J7" s="23" t="s">
        <v>79</v>
      </c>
      <c r="K7" s="23" t="s">
        <v>213</v>
      </c>
      <c r="L7" s="23" t="s">
        <v>212</v>
      </c>
      <c r="M7" s="23" t="s">
        <v>216</v>
      </c>
      <c r="N7" s="23">
        <v>54.830943931414701</v>
      </c>
      <c r="O7" s="23">
        <v>0.42539232302867203</v>
      </c>
      <c r="P7" s="23">
        <v>4.6530821729490399E-2</v>
      </c>
      <c r="Q7" s="23">
        <v>2.7433504400521702</v>
      </c>
      <c r="R7" s="23">
        <v>4.9918146127351397</v>
      </c>
      <c r="S7" s="23">
        <v>6.5580617850959699</v>
      </c>
      <c r="T7" s="23">
        <v>0</v>
      </c>
    </row>
    <row r="8" spans="1:20" x14ac:dyDescent="0.2">
      <c r="A8" s="22" t="s">
        <v>19</v>
      </c>
      <c r="B8" s="23">
        <v>11</v>
      </c>
      <c r="C8" s="23">
        <v>0</v>
      </c>
      <c r="D8" s="23">
        <v>679</v>
      </c>
      <c r="E8" s="23">
        <v>17</v>
      </c>
      <c r="F8" s="23">
        <v>0.24432799713272901</v>
      </c>
      <c r="G8" s="23">
        <v>1.0995791253507099E-3</v>
      </c>
      <c r="H8" s="23" t="s">
        <v>8</v>
      </c>
      <c r="I8" s="23" t="s">
        <v>9</v>
      </c>
      <c r="J8" s="23" t="s">
        <v>20</v>
      </c>
      <c r="K8" s="23" t="s">
        <v>211</v>
      </c>
      <c r="L8" s="23" t="s">
        <v>215</v>
      </c>
      <c r="M8" s="23" t="s">
        <v>214</v>
      </c>
      <c r="N8" s="23">
        <v>41.833855957787698</v>
      </c>
      <c r="O8" s="23">
        <v>0.79385991975433601</v>
      </c>
      <c r="P8" s="23">
        <v>7.7505302151417004</v>
      </c>
      <c r="Q8" s="23">
        <v>10.7542615457028</v>
      </c>
      <c r="R8" s="23">
        <v>0</v>
      </c>
      <c r="S8" s="23">
        <v>9.2007869024500604</v>
      </c>
      <c r="T8" s="23">
        <v>2.9899848896914598</v>
      </c>
    </row>
    <row r="9" spans="1:20" x14ac:dyDescent="0.2">
      <c r="A9" s="22" t="s">
        <v>112</v>
      </c>
      <c r="B9" s="23">
        <v>9</v>
      </c>
      <c r="C9" s="23">
        <v>0</v>
      </c>
      <c r="D9" s="23">
        <v>132</v>
      </c>
      <c r="E9" s="23">
        <v>10</v>
      </c>
      <c r="F9" s="23">
        <v>0.23227599918311401</v>
      </c>
      <c r="G9" s="23">
        <v>0.1973207998282</v>
      </c>
      <c r="H9" s="23" t="s">
        <v>94</v>
      </c>
      <c r="I9" s="23" t="s">
        <v>59</v>
      </c>
      <c r="J9" s="23" t="s">
        <v>10</v>
      </c>
      <c r="K9" s="23" t="s">
        <v>213</v>
      </c>
      <c r="L9" s="23" t="s">
        <v>212</v>
      </c>
      <c r="M9" s="23" t="s">
        <v>216</v>
      </c>
      <c r="N9" s="23">
        <v>39.571044267496099</v>
      </c>
      <c r="O9" s="23">
        <v>0.97283580642592604</v>
      </c>
      <c r="P9" s="23">
        <v>8.2159949798818896</v>
      </c>
      <c r="Q9" s="23">
        <v>11.949038504836899</v>
      </c>
      <c r="R9" s="23">
        <v>9.5046013957520508</v>
      </c>
      <c r="S9" s="23">
        <v>16.174139699400602</v>
      </c>
      <c r="T9" s="23">
        <v>0</v>
      </c>
    </row>
    <row r="10" spans="1:20" x14ac:dyDescent="0.2">
      <c r="A10" s="22" t="s">
        <v>133</v>
      </c>
      <c r="B10" s="23">
        <v>9</v>
      </c>
      <c r="C10" s="23">
        <v>0</v>
      </c>
      <c r="D10" s="23">
        <v>517</v>
      </c>
      <c r="E10" s="23">
        <v>20</v>
      </c>
      <c r="F10" s="23">
        <v>0.241079263318174</v>
      </c>
      <c r="G10" s="23">
        <v>1.0746348509712701E-3</v>
      </c>
      <c r="H10" s="23" t="s">
        <v>94</v>
      </c>
      <c r="I10" s="23" t="s">
        <v>122</v>
      </c>
      <c r="J10" s="23" t="s">
        <v>134</v>
      </c>
      <c r="K10" s="23" t="s">
        <v>213</v>
      </c>
      <c r="L10" s="23" t="s">
        <v>212</v>
      </c>
      <c r="M10" s="23" t="s">
        <v>146</v>
      </c>
      <c r="N10" s="23">
        <v>42.369233582304702</v>
      </c>
      <c r="O10" s="23">
        <v>0.76005182450959297</v>
      </c>
      <c r="P10" s="23">
        <v>0</v>
      </c>
      <c r="Q10" s="23">
        <v>3.41198304083726</v>
      </c>
      <c r="R10" s="23">
        <v>4.0273760581955003</v>
      </c>
      <c r="S10" s="23">
        <v>14.797655206988001</v>
      </c>
      <c r="T10" s="23">
        <v>32.027376175661097</v>
      </c>
    </row>
    <row r="11" spans="1:20" x14ac:dyDescent="0.2">
      <c r="A11" s="22" t="s">
        <v>50</v>
      </c>
      <c r="B11" s="23">
        <v>13</v>
      </c>
      <c r="C11" s="23">
        <v>0</v>
      </c>
      <c r="D11" s="23">
        <v>247</v>
      </c>
      <c r="E11" s="23">
        <v>15</v>
      </c>
      <c r="F11" s="23">
        <v>0.112874270561806</v>
      </c>
      <c r="G11" s="23">
        <v>0.40724650639964299</v>
      </c>
      <c r="H11" s="23" t="s">
        <v>8</v>
      </c>
      <c r="I11" s="23" t="s">
        <v>51</v>
      </c>
      <c r="J11" s="23" t="s">
        <v>14</v>
      </c>
      <c r="K11" s="23" t="s">
        <v>211</v>
      </c>
      <c r="L11" s="23" t="s">
        <v>212</v>
      </c>
      <c r="M11" s="23" t="s">
        <v>216</v>
      </c>
      <c r="N11" s="23">
        <v>28.261891448415</v>
      </c>
      <c r="O11" s="23">
        <v>0.99990021403347595</v>
      </c>
      <c r="P11" s="23">
        <v>19.0347046197118</v>
      </c>
      <c r="Q11" s="23">
        <v>21.882035981133299</v>
      </c>
      <c r="R11" s="23">
        <v>23.5481861505578</v>
      </c>
      <c r="S11" s="23">
        <v>28.043120362336499</v>
      </c>
      <c r="T11" s="23">
        <v>0</v>
      </c>
    </row>
    <row r="12" spans="1:20" x14ac:dyDescent="0.2">
      <c r="A12" s="22" t="s">
        <v>24</v>
      </c>
      <c r="B12" s="23">
        <v>8</v>
      </c>
      <c r="C12" s="23">
        <v>0</v>
      </c>
      <c r="D12" s="23">
        <v>736</v>
      </c>
      <c r="E12" s="23">
        <v>6</v>
      </c>
      <c r="F12" s="23">
        <v>0.24911068899535299</v>
      </c>
      <c r="G12" s="23">
        <v>1.5564128645844E-3</v>
      </c>
      <c r="H12" s="23" t="s">
        <v>8</v>
      </c>
      <c r="I12" s="23" t="s">
        <v>9</v>
      </c>
      <c r="J12" s="23" t="s">
        <v>10</v>
      </c>
      <c r="K12" s="23" t="s">
        <v>211</v>
      </c>
      <c r="L12" s="23" t="s">
        <v>215</v>
      </c>
      <c r="M12" s="23" t="s">
        <v>214</v>
      </c>
      <c r="N12" s="23">
        <v>40.113851228938103</v>
      </c>
      <c r="O12" s="23">
        <v>0.73457872191554596</v>
      </c>
      <c r="P12" s="23">
        <v>2.28905300132925</v>
      </c>
      <c r="Q12" s="23">
        <v>6.3372082942390202</v>
      </c>
      <c r="R12" s="23">
        <v>0</v>
      </c>
      <c r="S12" s="23">
        <v>14.054017905286999</v>
      </c>
      <c r="T12" s="23">
        <v>53.5401293770527</v>
      </c>
    </row>
    <row r="13" spans="1:20" x14ac:dyDescent="0.2">
      <c r="A13" s="22" t="s">
        <v>136</v>
      </c>
      <c r="B13" s="23">
        <v>10</v>
      </c>
      <c r="C13" s="23">
        <v>21</v>
      </c>
      <c r="D13" s="23">
        <v>2408</v>
      </c>
      <c r="E13" s="23">
        <v>35</v>
      </c>
      <c r="F13" s="23">
        <v>2.3469466950686E-2</v>
      </c>
      <c r="G13" s="23">
        <v>0.13745376525650099</v>
      </c>
      <c r="H13" s="23" t="s">
        <v>94</v>
      </c>
      <c r="I13" s="23" t="s">
        <v>122</v>
      </c>
      <c r="J13" s="23" t="s">
        <v>106</v>
      </c>
      <c r="K13" s="23" t="s">
        <v>213</v>
      </c>
      <c r="L13" s="23" t="s">
        <v>212</v>
      </c>
      <c r="M13" s="23" t="s">
        <v>216</v>
      </c>
      <c r="N13" s="23">
        <v>40.287893288842298</v>
      </c>
      <c r="O13" s="23">
        <v>0.99904070434635095</v>
      </c>
      <c r="P13" s="23">
        <v>15.609710281640901</v>
      </c>
      <c r="Q13" s="23">
        <v>19.028318337953699</v>
      </c>
      <c r="R13" s="23">
        <v>15.5280241235607</v>
      </c>
      <c r="S13" s="23">
        <v>19.6560994254002</v>
      </c>
      <c r="T13" s="23">
        <v>0</v>
      </c>
    </row>
    <row r="14" spans="1:20" x14ac:dyDescent="0.2">
      <c r="A14" s="22" t="s">
        <v>139</v>
      </c>
      <c r="B14" s="23">
        <v>9</v>
      </c>
      <c r="C14" s="23">
        <v>0</v>
      </c>
      <c r="D14" s="23">
        <v>742</v>
      </c>
      <c r="E14" s="23">
        <v>21</v>
      </c>
      <c r="F14" s="23">
        <v>0.15705986945969699</v>
      </c>
      <c r="G14" s="23">
        <v>2.8619239798831101E-3</v>
      </c>
      <c r="H14" s="23" t="s">
        <v>94</v>
      </c>
      <c r="I14" s="23" t="s">
        <v>122</v>
      </c>
      <c r="J14" s="23" t="s">
        <v>10</v>
      </c>
      <c r="K14" s="23" t="s">
        <v>211</v>
      </c>
      <c r="L14" s="23" t="s">
        <v>215</v>
      </c>
      <c r="M14" s="23" t="s">
        <v>146</v>
      </c>
      <c r="N14" s="23">
        <v>39.713975479992499</v>
      </c>
      <c r="O14" s="23">
        <v>0.77205729863904904</v>
      </c>
      <c r="P14" s="23">
        <v>0</v>
      </c>
      <c r="Q14" s="23">
        <v>3.5838230903575501</v>
      </c>
      <c r="R14" s="23">
        <v>4.38687764826338</v>
      </c>
      <c r="S14" s="23">
        <v>8.1412701448077307</v>
      </c>
      <c r="T14" s="23">
        <v>30.512873138927102</v>
      </c>
    </row>
    <row r="15" spans="1:20" x14ac:dyDescent="0.2">
      <c r="A15" s="22" t="s">
        <v>61</v>
      </c>
      <c r="B15" s="23">
        <v>8</v>
      </c>
      <c r="C15" s="23">
        <v>0</v>
      </c>
      <c r="D15" s="23">
        <v>1734</v>
      </c>
      <c r="E15" s="23">
        <v>15</v>
      </c>
      <c r="F15" s="23">
        <v>0.28685823771908803</v>
      </c>
      <c r="G15" s="23">
        <v>6.5419672701006197E-4</v>
      </c>
      <c r="H15" s="23" t="s">
        <v>8</v>
      </c>
      <c r="I15" s="23" t="s">
        <v>59</v>
      </c>
      <c r="J15" s="23" t="s">
        <v>28</v>
      </c>
      <c r="K15" s="23" t="s">
        <v>211</v>
      </c>
      <c r="L15" s="23" t="s">
        <v>215</v>
      </c>
      <c r="M15" s="23" t="s">
        <v>214</v>
      </c>
      <c r="N15" s="23">
        <v>16.119011957960002</v>
      </c>
      <c r="O15" s="23">
        <v>0.96356894727918496</v>
      </c>
      <c r="P15" s="23">
        <v>26.9226451207089</v>
      </c>
      <c r="Q15" s="23">
        <v>30.930059144470999</v>
      </c>
      <c r="R15" s="23">
        <v>0</v>
      </c>
      <c r="S15" s="23">
        <v>6.5505306206801102</v>
      </c>
      <c r="T15" s="23">
        <v>54.2513927535825</v>
      </c>
    </row>
    <row r="16" spans="1:20" x14ac:dyDescent="0.2">
      <c r="A16" s="22" t="s">
        <v>141</v>
      </c>
      <c r="B16" s="23">
        <v>11</v>
      </c>
      <c r="C16" s="23">
        <v>0</v>
      </c>
      <c r="D16" s="23">
        <v>685</v>
      </c>
      <c r="E16" s="23">
        <v>11</v>
      </c>
      <c r="F16" s="23">
        <v>0.36773236910618801</v>
      </c>
      <c r="G16" s="23">
        <v>1.67103602428826E-4</v>
      </c>
      <c r="H16" s="23" t="s">
        <v>94</v>
      </c>
      <c r="I16" s="23" t="s">
        <v>122</v>
      </c>
      <c r="J16" s="23" t="s">
        <v>10</v>
      </c>
      <c r="K16" s="23" t="s">
        <v>213</v>
      </c>
      <c r="L16" s="23" t="s">
        <v>215</v>
      </c>
      <c r="M16" s="23" t="s">
        <v>216</v>
      </c>
      <c r="N16" s="23">
        <v>47.856378689859</v>
      </c>
      <c r="O16" s="23">
        <v>0.78838020788614505</v>
      </c>
      <c r="P16" s="23">
        <v>14.707790907128301</v>
      </c>
      <c r="Q16" s="23">
        <v>17.702400750485101</v>
      </c>
      <c r="R16" s="23">
        <v>2.80135605018565</v>
      </c>
      <c r="S16" s="23">
        <v>7.7065276239251403</v>
      </c>
      <c r="T16" s="23">
        <v>0</v>
      </c>
    </row>
    <row r="17" spans="1:20" x14ac:dyDescent="0.2">
      <c r="A17" s="22" t="s">
        <v>115</v>
      </c>
      <c r="B17" s="23">
        <v>18</v>
      </c>
      <c r="C17" s="23">
        <v>0</v>
      </c>
      <c r="D17" s="23">
        <v>546</v>
      </c>
      <c r="E17" s="23">
        <v>13</v>
      </c>
      <c r="F17" s="23">
        <v>0.18060929153358299</v>
      </c>
      <c r="G17" s="23">
        <v>0.256906640027112</v>
      </c>
      <c r="H17" s="23" t="s">
        <v>94</v>
      </c>
      <c r="I17" s="23" t="s">
        <v>59</v>
      </c>
      <c r="J17" s="23" t="s">
        <v>10</v>
      </c>
      <c r="K17" s="23" t="s">
        <v>213</v>
      </c>
      <c r="L17" s="23" t="s">
        <v>212</v>
      </c>
      <c r="M17" s="23" t="s">
        <v>216</v>
      </c>
      <c r="N17" s="23">
        <v>77.150895026737601</v>
      </c>
      <c r="O17" s="23">
        <v>0.67480820812322895</v>
      </c>
      <c r="P17" s="23">
        <v>18.304303345626501</v>
      </c>
      <c r="Q17" s="23">
        <v>20.894262407362401</v>
      </c>
      <c r="R17" s="23">
        <v>3.83904589094361</v>
      </c>
      <c r="S17" s="23">
        <v>2.1867086585327198</v>
      </c>
      <c r="T17" s="23">
        <v>0</v>
      </c>
    </row>
    <row r="18" spans="1:20" x14ac:dyDescent="0.2">
      <c r="A18" s="22" t="s">
        <v>88</v>
      </c>
      <c r="B18" s="23">
        <v>10</v>
      </c>
      <c r="C18" s="23">
        <v>0</v>
      </c>
      <c r="D18" s="23">
        <v>460</v>
      </c>
      <c r="E18" s="23">
        <v>16</v>
      </c>
      <c r="F18" s="23">
        <v>0.18475990286931501</v>
      </c>
      <c r="G18" s="23">
        <v>0.158394248109473</v>
      </c>
      <c r="H18" s="23" t="s">
        <v>8</v>
      </c>
      <c r="I18" s="23" t="s">
        <v>59</v>
      </c>
      <c r="J18" s="23" t="s">
        <v>28</v>
      </c>
      <c r="K18" s="23" t="s">
        <v>211</v>
      </c>
      <c r="L18" s="23" t="s">
        <v>212</v>
      </c>
      <c r="M18" s="23" t="s">
        <v>146</v>
      </c>
      <c r="N18" s="23">
        <v>50.9485656028438</v>
      </c>
      <c r="O18" s="23">
        <v>0.579982643111702</v>
      </c>
      <c r="P18" s="23">
        <v>0</v>
      </c>
      <c r="Q18" s="23">
        <v>3.42835040532636</v>
      </c>
      <c r="R18" s="23">
        <v>1.54570346328996</v>
      </c>
      <c r="S18" s="23">
        <v>5.0119654687039299</v>
      </c>
      <c r="T18" s="23">
        <v>14.2935970734818</v>
      </c>
    </row>
    <row r="19" spans="1:20" x14ac:dyDescent="0.2">
      <c r="A19" s="22" t="s">
        <v>121</v>
      </c>
      <c r="B19" s="23">
        <v>10</v>
      </c>
      <c r="C19" s="23">
        <v>0</v>
      </c>
      <c r="D19" s="23">
        <v>815</v>
      </c>
      <c r="E19" s="23">
        <v>12</v>
      </c>
      <c r="F19" s="23">
        <v>0.38512816275876599</v>
      </c>
      <c r="G19" s="23">
        <v>3.3640745381474301E-3</v>
      </c>
      <c r="H19" s="23" t="s">
        <v>94</v>
      </c>
      <c r="I19" s="23" t="s">
        <v>122</v>
      </c>
      <c r="J19" s="23" t="s">
        <v>28</v>
      </c>
      <c r="K19" s="23" t="s">
        <v>213</v>
      </c>
      <c r="L19" s="23" t="s">
        <v>212</v>
      </c>
      <c r="M19" s="23" t="s">
        <v>214</v>
      </c>
      <c r="N19" s="23">
        <v>49.049795795838897</v>
      </c>
      <c r="O19" s="23">
        <v>0.89795298583285099</v>
      </c>
      <c r="P19" s="23">
        <v>7.2298332990553096</v>
      </c>
      <c r="Q19" s="23">
        <v>10.567164851089901</v>
      </c>
      <c r="R19" s="23">
        <v>0</v>
      </c>
      <c r="S19" s="23">
        <v>5.6999374413685997</v>
      </c>
      <c r="T19" s="23">
        <v>7.4757586846035498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Sim_Params</vt:lpstr>
      <vt:lpstr>Clinical_Data</vt:lpstr>
      <vt:lpstr>Group_Summary</vt:lpstr>
      <vt:lpstr>Disease_Summary</vt:lpstr>
      <vt:lpstr>Simulation_Summary</vt:lpstr>
      <vt:lpstr>Patient_Outputs</vt:lpstr>
      <vt:lpstr>Lineage_Metrics_Summary</vt:lpstr>
      <vt:lpstr>Case_Level_Model_Comparison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Kim</dc:creator>
  <cp:lastModifiedBy>Seung-Hwan Kim</cp:lastModifiedBy>
  <dcterms:created xsi:type="dcterms:W3CDTF">2025-10-20T16:09:38Z</dcterms:created>
  <dcterms:modified xsi:type="dcterms:W3CDTF">2026-05-20T21:28:51Z</dcterms:modified>
</cp:coreProperties>
</file>